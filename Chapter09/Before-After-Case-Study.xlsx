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/Documents/ddpe/Chapter09/"/>
    </mc:Choice>
  </mc:AlternateContent>
  <xr:revisionPtr revIDLastSave="0" documentId="13_ncr:1_{EEDFF7F0-F8EB-324E-8EB7-E315A238C5BA}" xr6:coauthVersionLast="47" xr6:coauthVersionMax="47" xr10:uidLastSave="{00000000-0000-0000-0000-000000000000}"/>
  <bookViews>
    <workbookView xWindow="18180" yWindow="3040" windowWidth="27640" windowHeight="16940" xr2:uid="{08F6EFF0-BE6C-0646-921A-934A0CF25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E26" i="1"/>
  <c r="D26" i="1"/>
  <c r="E25" i="1"/>
  <c r="D25" i="1"/>
  <c r="E24" i="1"/>
  <c r="D24" i="1"/>
  <c r="E23" i="1"/>
  <c r="D23" i="1"/>
  <c r="E18" i="1"/>
  <c r="D18" i="1"/>
  <c r="E17" i="1"/>
  <c r="D17" i="1"/>
  <c r="E16" i="1"/>
  <c r="D16" i="1"/>
  <c r="E15" i="1"/>
  <c r="D15" i="1"/>
  <c r="E14" i="1"/>
  <c r="D14" i="1"/>
  <c r="E9" i="1"/>
  <c r="D9" i="1"/>
  <c r="E8" i="1"/>
  <c r="D8" i="1"/>
  <c r="E7" i="1"/>
  <c r="D7" i="1"/>
  <c r="E6" i="1"/>
  <c r="D6" i="1"/>
  <c r="E5" i="1"/>
  <c r="D5" i="1"/>
</calcChain>
</file>

<file path=xl/sharedStrings.xml><?xml version="1.0" encoding="utf-8"?>
<sst xmlns="http://schemas.openxmlformats.org/spreadsheetml/2006/main" count="34" uniqueCount="24">
  <si>
    <t>Before/After Case Study Metrics</t>
  </si>
  <si>
    <t>SECTION 1: BFSI Transformation</t>
  </si>
  <si>
    <t>Metric</t>
  </si>
  <si>
    <t>Before</t>
  </si>
  <si>
    <t>After</t>
  </si>
  <si>
    <t>Improvement</t>
  </si>
  <si>
    <t>% Change</t>
  </si>
  <si>
    <t>Compliance Audit Time (days)</t>
  </si>
  <si>
    <t>Security Incidents/Quarter</t>
  </si>
  <si>
    <t>Deployment Frequency (per month)</t>
  </si>
  <si>
    <t>Onboarding Time (weeks)</t>
  </si>
  <si>
    <t>Regulatory Violation Rate (%)</t>
  </si>
  <si>
    <t>SECTION 2: Healthcare Compliance</t>
  </si>
  <si>
    <t>HIPAA Audit Findings</t>
  </si>
  <si>
    <t>Data Breach Incidents</t>
  </si>
  <si>
    <t>Consent Management Time (hours)</t>
  </si>
  <si>
    <t>PHI Access Violations</t>
  </si>
  <si>
    <t>Deployment to Production (days)</t>
  </si>
  <si>
    <t>SECTION 3: Tech-First Enterprise</t>
  </si>
  <si>
    <t>Time to First Deploy (hours)</t>
  </si>
  <si>
    <t>Platform Adoption (%)</t>
  </si>
  <si>
    <t>Developer NPS</t>
  </si>
  <si>
    <t>Infrastructure Cost per Service ($)</t>
  </si>
  <si>
    <t>Incident Response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</si>
</sst>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8E99-4795-4545-8770-175541680403}">
  <dimension ref="A1:E27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35" customWidth="1"/>
    <col min="2" max="5" width="15" customWidth="1"/>
  </cols>
  <sheetData>
    <row r="1" spans="1:5" ht="18" x14ac:dyDescent="0.2">
      <c r="A1" s="1" t="s">
        <v>0</v>
      </c>
      <c r="B1" s="2"/>
      <c r="C1" s="2"/>
      <c r="D1" s="2"/>
      <c r="E1" s="2"/>
    </row>
    <row r="3" spans="1:5" x14ac:dyDescent="0.2">
      <c r="A3" s="3" t="s">
        <v>1</v>
      </c>
    </row>
    <row r="4" spans="1:5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">
      <c r="A5" s="5" t="s">
        <v>7</v>
      </c>
      <c r="B5" s="6">
        <v>45</v>
      </c>
      <c r="C5" s="6">
        <v>15</v>
      </c>
      <c r="D5" s="5">
        <f>B5-C5</f>
        <v>30</v>
      </c>
      <c r="E5" s="7">
        <f>(C5-B5)/B5</f>
        <v>-0.66666666666666663</v>
      </c>
    </row>
    <row r="6" spans="1:5" x14ac:dyDescent="0.2">
      <c r="A6" s="5" t="s">
        <v>8</v>
      </c>
      <c r="B6" s="6">
        <v>8</v>
      </c>
      <c r="C6" s="6">
        <v>2</v>
      </c>
      <c r="D6" s="5">
        <f>B6-C6</f>
        <v>6</v>
      </c>
      <c r="E6" s="7">
        <f>(C6-B6)/B6</f>
        <v>-0.75</v>
      </c>
    </row>
    <row r="7" spans="1:5" x14ac:dyDescent="0.2">
      <c r="A7" s="8" t="s">
        <v>9</v>
      </c>
      <c r="B7" s="9">
        <v>2</v>
      </c>
      <c r="C7" s="9">
        <v>12</v>
      </c>
      <c r="D7" s="8">
        <f>B7-C7</f>
        <v>-10</v>
      </c>
      <c r="E7" s="10">
        <f>(C7-B7)/B7</f>
        <v>5</v>
      </c>
    </row>
    <row r="8" spans="1:5" x14ac:dyDescent="0.2">
      <c r="A8" s="5" t="s">
        <v>10</v>
      </c>
      <c r="B8" s="6">
        <v>8</v>
      </c>
      <c r="C8" s="6">
        <v>2</v>
      </c>
      <c r="D8" s="5">
        <f>B8-C8</f>
        <v>6</v>
      </c>
      <c r="E8" s="7">
        <f>(C8-B8)/B8</f>
        <v>-0.75</v>
      </c>
    </row>
    <row r="9" spans="1:5" x14ac:dyDescent="0.2">
      <c r="A9" s="8" t="s">
        <v>11</v>
      </c>
      <c r="B9" s="9">
        <v>3.5</v>
      </c>
      <c r="C9" s="9">
        <v>0.5</v>
      </c>
      <c r="D9" s="8">
        <f>B9-C9</f>
        <v>3</v>
      </c>
      <c r="E9" s="10">
        <f>(C9-B9)/B9</f>
        <v>-0.8571428571428571</v>
      </c>
    </row>
    <row r="12" spans="1:5" x14ac:dyDescent="0.2">
      <c r="A12" s="3" t="s">
        <v>12</v>
      </c>
    </row>
    <row r="13" spans="1:5" x14ac:dyDescent="0.2">
      <c r="A13" s="4" t="s">
        <v>2</v>
      </c>
      <c r="B13" s="4" t="s">
        <v>3</v>
      </c>
      <c r="C13" s="4" t="s">
        <v>4</v>
      </c>
      <c r="D13" s="4" t="s">
        <v>5</v>
      </c>
      <c r="E13" s="4" t="s">
        <v>6</v>
      </c>
    </row>
    <row r="14" spans="1:5" x14ac:dyDescent="0.2">
      <c r="A14" s="5" t="s">
        <v>13</v>
      </c>
      <c r="B14" s="6">
        <v>24</v>
      </c>
      <c r="C14" s="6">
        <v>3</v>
      </c>
      <c r="D14" s="5">
        <f>B14-C14</f>
        <v>21</v>
      </c>
      <c r="E14" s="7">
        <f>(C14-B14)/B14</f>
        <v>-0.875</v>
      </c>
    </row>
    <row r="15" spans="1:5" x14ac:dyDescent="0.2">
      <c r="A15" s="5" t="s">
        <v>14</v>
      </c>
      <c r="B15" s="6">
        <v>2</v>
      </c>
      <c r="C15" s="6">
        <v>0</v>
      </c>
      <c r="D15" s="5">
        <f>B15-C15</f>
        <v>2</v>
      </c>
      <c r="E15" s="7">
        <f>(C15-B15)/B15</f>
        <v>-1</v>
      </c>
    </row>
    <row r="16" spans="1:5" x14ac:dyDescent="0.2">
      <c r="A16" s="8" t="s">
        <v>15</v>
      </c>
      <c r="B16" s="9">
        <v>120</v>
      </c>
      <c r="C16" s="9">
        <v>20</v>
      </c>
      <c r="D16" s="8">
        <f>B16-C16</f>
        <v>100</v>
      </c>
      <c r="E16" s="10">
        <f>(C16-B16)/B16</f>
        <v>-0.83333333333333337</v>
      </c>
    </row>
    <row r="17" spans="1:5" x14ac:dyDescent="0.2">
      <c r="A17" s="5" t="s">
        <v>16</v>
      </c>
      <c r="B17" s="6">
        <v>6</v>
      </c>
      <c r="C17" s="6">
        <v>1</v>
      </c>
      <c r="D17" s="5">
        <f>B17-C17</f>
        <v>5</v>
      </c>
      <c r="E17" s="7">
        <f>(C17-B17)/B17</f>
        <v>-0.83333333333333337</v>
      </c>
    </row>
    <row r="18" spans="1:5" x14ac:dyDescent="0.2">
      <c r="A18" s="8" t="s">
        <v>17</v>
      </c>
      <c r="B18" s="9">
        <v>30</v>
      </c>
      <c r="C18" s="9">
        <v>2</v>
      </c>
      <c r="D18" s="8">
        <f>B18-C18</f>
        <v>28</v>
      </c>
      <c r="E18" s="10">
        <f>(C18-B18)/B18</f>
        <v>-0.93333333333333335</v>
      </c>
    </row>
    <row r="21" spans="1:5" x14ac:dyDescent="0.2">
      <c r="A21" s="3" t="s">
        <v>18</v>
      </c>
    </row>
    <row r="22" spans="1:5" x14ac:dyDescent="0.2">
      <c r="A22" s="4" t="s">
        <v>2</v>
      </c>
      <c r="B22" s="4" t="s">
        <v>3</v>
      </c>
      <c r="C22" s="4" t="s">
        <v>4</v>
      </c>
      <c r="D22" s="4" t="s">
        <v>5</v>
      </c>
      <c r="E22" s="4" t="s">
        <v>6</v>
      </c>
    </row>
    <row r="23" spans="1:5" x14ac:dyDescent="0.2">
      <c r="A23" s="5" t="s">
        <v>19</v>
      </c>
      <c r="B23" s="6">
        <v>480</v>
      </c>
      <c r="C23" s="6">
        <v>4</v>
      </c>
      <c r="D23" s="5">
        <f>B23-C23</f>
        <v>476</v>
      </c>
      <c r="E23" s="7">
        <f>(C23-B23)/B23</f>
        <v>-0.9916666666666667</v>
      </c>
    </row>
    <row r="24" spans="1:5" x14ac:dyDescent="0.2">
      <c r="A24" s="5" t="s">
        <v>20</v>
      </c>
      <c r="B24" s="6">
        <v>15</v>
      </c>
      <c r="C24" s="6">
        <v>87</v>
      </c>
      <c r="D24" s="5">
        <f>B24-C24</f>
        <v>-72</v>
      </c>
      <c r="E24" s="7">
        <f>(C24-B24)/B24</f>
        <v>4.8</v>
      </c>
    </row>
    <row r="25" spans="1:5" x14ac:dyDescent="0.2">
      <c r="A25" s="8" t="s">
        <v>21</v>
      </c>
      <c r="B25" s="9">
        <v>32</v>
      </c>
      <c r="C25" s="9">
        <v>68</v>
      </c>
      <c r="D25" s="8">
        <f>B25-C25</f>
        <v>-36</v>
      </c>
      <c r="E25" s="10">
        <f>(C25-B25)/B25</f>
        <v>1.125</v>
      </c>
    </row>
    <row r="26" spans="1:5" x14ac:dyDescent="0.2">
      <c r="A26" s="5" t="s">
        <v>22</v>
      </c>
      <c r="B26" s="6">
        <v>50000</v>
      </c>
      <c r="C26" s="6">
        <v>8000</v>
      </c>
      <c r="D26" s="5">
        <f>B26-C26</f>
        <v>42000</v>
      </c>
      <c r="E26" s="7">
        <f>(C26-B26)/B26</f>
        <v>-0.84</v>
      </c>
    </row>
    <row r="27" spans="1:5" x14ac:dyDescent="0.2">
      <c r="A27" s="8" t="s">
        <v>23</v>
      </c>
      <c r="B27" s="9">
        <v>120</v>
      </c>
      <c r="C27" s="9">
        <v>15</v>
      </c>
      <c r="D27" s="8">
        <f>B27-C27</f>
        <v>105</v>
      </c>
      <c r="E27" s="10">
        <f>(C27-B27)/B27</f>
        <v>-0.875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Chankramath</dc:creator>
  <cp:lastModifiedBy>Ajay Chankramath</cp:lastModifiedBy>
  <dcterms:created xsi:type="dcterms:W3CDTF">2026-04-06T19:55:47Z</dcterms:created>
  <dcterms:modified xsi:type="dcterms:W3CDTF">2026-04-06T19:56:35Z</dcterms:modified>
</cp:coreProperties>
</file>