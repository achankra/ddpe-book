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<sst xmlns="http://schemas.openxmlformats.org/spreadsheetml/2006/main" count="19" uniqueCount="15">
  <si>
    <t>Year 1</t>
  </si>
  <si>
    <t>Year 2</t>
  </si>
  <si>
    <t>Year 3</t>
  </si>
  <si>
    <t>build</t>
  </si>
  <si>
    <t>infra costs</t>
  </si>
  <si>
    <t>maintain</t>
  </si>
  <si>
    <t>Total Cost</t>
  </si>
  <si>
    <t>adoption</t>
  </si>
  <si>
    <t>cost of developer per month</t>
  </si>
  <si>
    <t>gain per developer per month</t>
  </si>
  <si>
    <t># months of benefit</t>
  </si>
  <si>
    <t>Total Benefit</t>
  </si>
  <si>
    <t>Year 4</t>
  </si>
  <si>
    <t>Investment</t>
  </si>
  <si>
    <t>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</si>
</sst>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Sheet2!$A$2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Sheet2!$B$1:$E$1</c:f>
            </c:strRef>
          </c:cat>
          <c:val>
            <c:numRef>
              <c:f>Sheet2!$B$2:$E$2</c:f>
              <c:numCache/>
            </c:numRef>
          </c:val>
          <c:smooth val="0"/>
        </c:ser>
        <c:ser>
          <c:idx val="1"/>
          <c:order val="1"/>
          <c:tx>
            <c:strRef>
              <c:f>Sheet2!$A$3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Sheet2!$B$1:$E$1</c:f>
            </c:strRef>
          </c:cat>
          <c:val>
            <c:numRef>
              <c:f>Sheet2!$B$3:$E$3</c:f>
              <c:numCache/>
            </c:numRef>
          </c:val>
          <c:smooth val="0"/>
        </c:ser>
        <c:axId val="2003959270"/>
        <c:axId val="1146945259"/>
      </c:lineChart>
      <c:catAx>
        <c:axId val="2003959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945259"/>
      </c:catAx>
      <c:valAx>
        <c:axId val="1146945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959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5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B1" s="1" t="s">
        <v>0</v>
      </c>
      <c r="C1" s="1" t="s">
        <v>1</v>
      </c>
      <c r="D1" s="1" t="s">
        <v>2</v>
      </c>
      <c r="E1" s="1" t="s">
        <v>2</v>
      </c>
    </row>
    <row r="2">
      <c r="A2" s="1" t="s">
        <v>3</v>
      </c>
      <c r="B2" s="1">
        <v>1800000.0</v>
      </c>
      <c r="C2" s="1">
        <v>0.0</v>
      </c>
      <c r="D2" s="1">
        <v>0.0</v>
      </c>
      <c r="E2" s="1">
        <v>0.0</v>
      </c>
    </row>
    <row r="3">
      <c r="A3" s="1" t="s">
        <v>4</v>
      </c>
      <c r="B3" s="1">
        <v>0.0</v>
      </c>
      <c r="C3" s="1">
        <v>600000.0</v>
      </c>
      <c r="D3" s="1">
        <v>600000.0</v>
      </c>
      <c r="E3" s="1">
        <v>600000.0</v>
      </c>
    </row>
    <row r="4">
      <c r="A4" s="1" t="s">
        <v>5</v>
      </c>
      <c r="B4" s="1">
        <v>0.0</v>
      </c>
      <c r="C4" s="1">
        <v>900000.0</v>
      </c>
      <c r="D4" s="1">
        <v>900000.0</v>
      </c>
      <c r="E4" s="1">
        <v>900000.0</v>
      </c>
    </row>
    <row r="5">
      <c r="A5" s="1"/>
    </row>
    <row r="6">
      <c r="A6" s="2" t="s">
        <v>6</v>
      </c>
      <c r="B6" s="3">
        <f t="shared" ref="B6:E6" si="1">SUM(B2:B4)</f>
        <v>1800000</v>
      </c>
      <c r="C6" s="3">
        <f t="shared" si="1"/>
        <v>1500000</v>
      </c>
      <c r="D6" s="3">
        <f t="shared" si="1"/>
        <v>1500000</v>
      </c>
      <c r="E6" s="3">
        <f t="shared" si="1"/>
        <v>1500000</v>
      </c>
    </row>
    <row r="7">
      <c r="A7" s="1"/>
      <c r="B7" s="1"/>
      <c r="C7" s="1"/>
      <c r="D7" s="1"/>
      <c r="E7" s="1"/>
    </row>
    <row r="8">
      <c r="A8" s="1" t="s">
        <v>7</v>
      </c>
      <c r="B8" s="1">
        <v>0.0</v>
      </c>
      <c r="C8" s="1">
        <v>100.0</v>
      </c>
      <c r="D8" s="1">
        <v>250.0</v>
      </c>
      <c r="E8" s="1">
        <v>500.0</v>
      </c>
    </row>
    <row r="9">
      <c r="A9" s="1" t="s">
        <v>8</v>
      </c>
      <c r="B9" s="4">
        <v>15000.0</v>
      </c>
      <c r="C9" s="4">
        <v>15000.0</v>
      </c>
      <c r="D9" s="4">
        <v>15000.0</v>
      </c>
      <c r="E9" s="4">
        <v>15000.0</v>
      </c>
    </row>
    <row r="10">
      <c r="A10" s="1" t="s">
        <v>9</v>
      </c>
      <c r="B10" s="4">
        <f t="shared" ref="B10:E10" si="2">B9*10%</f>
        <v>1500</v>
      </c>
      <c r="C10" s="4">
        <f t="shared" si="2"/>
        <v>1500</v>
      </c>
      <c r="D10" s="4">
        <f t="shared" si="2"/>
        <v>1500</v>
      </c>
      <c r="E10" s="4">
        <f t="shared" si="2"/>
        <v>1500</v>
      </c>
    </row>
    <row r="11">
      <c r="A11" s="2" t="s">
        <v>10</v>
      </c>
      <c r="B11" s="5">
        <v>0.0</v>
      </c>
      <c r="C11" s="5">
        <v>12.0</v>
      </c>
      <c r="D11" s="5">
        <v>12.0</v>
      </c>
      <c r="E11" s="5">
        <v>12.0</v>
      </c>
    </row>
    <row r="12">
      <c r="A12" s="2" t="s">
        <v>11</v>
      </c>
      <c r="B12" s="4">
        <f t="shared" ref="B12:E12" si="3">B11*B10*B8</f>
        <v>0</v>
      </c>
      <c r="C12" s="4">
        <f t="shared" si="3"/>
        <v>1800000</v>
      </c>
      <c r="D12" s="4">
        <f t="shared" si="3"/>
        <v>4500000</v>
      </c>
      <c r="E12" s="4">
        <f t="shared" si="3"/>
        <v>9000000</v>
      </c>
    </row>
    <row r="13">
      <c r="B1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12</v>
      </c>
    </row>
    <row r="2">
      <c r="A2" s="2" t="s">
        <v>13</v>
      </c>
      <c r="B2" s="7">
        <f>Sheet1!B6</f>
        <v>1800000</v>
      </c>
      <c r="C2" s="7">
        <f>Sheet1!C6</f>
        <v>1500000</v>
      </c>
      <c r="D2" s="7">
        <f>Sheet1!D6</f>
        <v>1500000</v>
      </c>
      <c r="E2" s="7">
        <f>Sheet1!E6</f>
        <v>1500000</v>
      </c>
    </row>
    <row r="3">
      <c r="A3" s="1" t="s">
        <v>14</v>
      </c>
      <c r="B3" s="4">
        <f>Sheet1!B12</f>
        <v>0</v>
      </c>
      <c r="C3" s="4">
        <f>Sheet1!C12</f>
        <v>1800000</v>
      </c>
      <c r="D3" s="4">
        <f>Sheet1!D12</f>
        <v>4500000</v>
      </c>
      <c r="E3" s="4">
        <f>Sheet1!E12</f>
        <v>9000000</v>
      </c>
    </row>
  </sheetData>
  <drawing r:id="rId1"/>
</worksheet>
</file>