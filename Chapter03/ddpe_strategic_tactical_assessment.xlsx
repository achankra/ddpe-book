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jay/Documents/ddpe/Chapter03/"/>
    </mc:Choice>
  </mc:AlternateContent>
  <xr:revisionPtr revIDLastSave="0" documentId="8_{23ED60B8-9C25-EC4D-BB4C-7BB76ED2C2F0}" xr6:coauthVersionLast="47" xr6:coauthVersionMax="47" xr10:uidLastSave="{00000000-0000-0000-0000-000000000000}"/>
  <bookViews>
    <workbookView xWindow="21320" yWindow="4840" windowWidth="24860" windowHeight="20480" tabRatio="500" xr2:uid="{00000000-000D-0000-FFFF-FFFF00000000}"/>
  </bookViews>
  <sheets>
    <sheet name="DDPE Dashboard" sheetId="1" r:id="rId1"/>
    <sheet name="Bounded Contexts" sheetId="2" r:id="rId2"/>
    <sheet name="Layer Taxonomy" sheetId="3" r:id="rId3"/>
    <sheet name="Cognitive Load" sheetId="4" r:id="rId4"/>
    <sheet name="Build vs Buy" sheetId="5" r:id="rId5"/>
    <sheet name="Strategic Signals" sheetId="6" r:id="rId6"/>
    <sheet name="DDPE Action Pl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6" l="1"/>
  <c r="F14" i="6"/>
  <c r="F13" i="6"/>
  <c r="F12" i="6"/>
  <c r="F11" i="6"/>
  <c r="F10" i="6"/>
  <c r="F9" i="6"/>
  <c r="F8" i="6"/>
  <c r="F7" i="6"/>
  <c r="E16" i="6" s="1"/>
  <c r="C17" i="1" s="1"/>
  <c r="F6" i="6"/>
  <c r="F5" i="6"/>
  <c r="I17" i="5"/>
  <c r="G15" i="5"/>
  <c r="H15" i="5" s="1"/>
  <c r="F15" i="5"/>
  <c r="G14" i="5"/>
  <c r="H14" i="5" s="1"/>
  <c r="F14" i="5"/>
  <c r="H13" i="5"/>
  <c r="G13" i="5"/>
  <c r="F13" i="5"/>
  <c r="G12" i="5"/>
  <c r="H12" i="5" s="1"/>
  <c r="F12" i="5"/>
  <c r="G11" i="5"/>
  <c r="H11" i="5" s="1"/>
  <c r="F11" i="5"/>
  <c r="G10" i="5"/>
  <c r="H10" i="5" s="1"/>
  <c r="F10" i="5"/>
  <c r="H9" i="5"/>
  <c r="G9" i="5"/>
  <c r="F9" i="5"/>
  <c r="G8" i="5"/>
  <c r="H8" i="5" s="1"/>
  <c r="F8" i="5"/>
  <c r="G7" i="5"/>
  <c r="H7" i="5" s="1"/>
  <c r="F7" i="5"/>
  <c r="G6" i="5"/>
  <c r="H6" i="5" s="1"/>
  <c r="H17" i="5" s="1"/>
  <c r="C16" i="1" s="1"/>
  <c r="E16" i="1" s="1"/>
  <c r="F6" i="5"/>
  <c r="F18" i="4"/>
  <c r="D15" i="1" s="1"/>
  <c r="E15" i="1" s="1"/>
  <c r="F15" i="4"/>
  <c r="F14" i="4"/>
  <c r="F13" i="4"/>
  <c r="F12" i="4"/>
  <c r="F11" i="4"/>
  <c r="F10" i="4"/>
  <c r="F9" i="4"/>
  <c r="F8" i="4"/>
  <c r="F7" i="4"/>
  <c r="F6" i="4"/>
  <c r="E18" i="4" s="1"/>
  <c r="C15" i="1" s="1"/>
  <c r="H37" i="3"/>
  <c r="H19" i="3" s="1"/>
  <c r="D14" i="1" s="1"/>
  <c r="E14" i="1" s="1"/>
  <c r="H35" i="3"/>
  <c r="G35" i="3"/>
  <c r="E35" i="3"/>
  <c r="H34" i="3"/>
  <c r="G34" i="3"/>
  <c r="E34" i="3"/>
  <c r="H33" i="3"/>
  <c r="G33" i="3"/>
  <c r="E33" i="3"/>
  <c r="G28" i="3"/>
  <c r="H28" i="3" s="1"/>
  <c r="E28" i="3"/>
  <c r="H27" i="3"/>
  <c r="G27" i="3"/>
  <c r="E27" i="3"/>
  <c r="H26" i="3"/>
  <c r="G26" i="3"/>
  <c r="E26" i="3"/>
  <c r="G25" i="3"/>
  <c r="H25" i="3" s="1"/>
  <c r="E25" i="3"/>
  <c r="G20" i="3"/>
  <c r="H20" i="3" s="1"/>
  <c r="E20" i="3"/>
  <c r="E19" i="3"/>
  <c r="H18" i="3"/>
  <c r="G18" i="3"/>
  <c r="E18" i="3"/>
  <c r="G17" i="3"/>
  <c r="H17" i="3" s="1"/>
  <c r="E17" i="3"/>
  <c r="G12" i="3"/>
  <c r="H12" i="3" s="1"/>
  <c r="E12" i="3"/>
  <c r="H11" i="3"/>
  <c r="G11" i="3"/>
  <c r="E11" i="3"/>
  <c r="H10" i="3"/>
  <c r="G10" i="3"/>
  <c r="E10" i="3"/>
  <c r="G9" i="3"/>
  <c r="H9" i="3" s="1"/>
  <c r="E9" i="3"/>
  <c r="G8" i="3"/>
  <c r="H8" i="3" s="1"/>
  <c r="E8" i="3"/>
  <c r="G37" i="3" s="1"/>
  <c r="G19" i="3" s="1"/>
  <c r="C14" i="1" s="1"/>
  <c r="H7" i="3"/>
  <c r="G7" i="3"/>
  <c r="E7" i="3"/>
  <c r="G17" i="2"/>
  <c r="F15" i="2"/>
  <c r="F14" i="2"/>
  <c r="F13" i="2"/>
  <c r="F12" i="2"/>
  <c r="F11" i="2"/>
  <c r="F10" i="2"/>
  <c r="F9" i="2"/>
  <c r="F8" i="2"/>
  <c r="F17" i="2" s="1"/>
  <c r="C13" i="1" s="1"/>
  <c r="F7" i="2"/>
  <c r="F6" i="2"/>
  <c r="D17" i="1"/>
  <c r="D16" i="1"/>
  <c r="D13" i="1"/>
  <c r="E17" i="1" l="1"/>
  <c r="D18" i="1"/>
  <c r="E18" i="1" s="1"/>
  <c r="C18" i="1"/>
  <c r="E13" i="1"/>
  <c r="B23" i="1" l="1"/>
  <c r="B5" i="7" s="1"/>
  <c r="B22" i="1"/>
  <c r="B4" i="7" s="1"/>
  <c r="B21" i="1"/>
</calcChain>
</file>

<file path=xl/sharedStrings.xml><?xml version="1.0" encoding="utf-8"?>
<sst xmlns="http://schemas.openxmlformats.org/spreadsheetml/2006/main" count="437" uniqueCount="307">
  <si>
    <t>DOMAIN-DRIVEN PLATFORM ENGINEERING: STRATEGIC vs TACTICAL ASSESSMENT</t>
  </si>
  <si>
    <t>Applying DDD Principles to Platform Investment Decisions Across the Four-Layer Service Taxonomy</t>
  </si>
  <si>
    <t>Organization:</t>
  </si>
  <si>
    <t>Primary Domain:</t>
  </si>
  <si>
    <t>THE ABSTRACTION SHIFT</t>
  </si>
  <si>
    <t>Assessment Date:</t>
  </si>
  <si>
    <t>Industry Vertical:</t>
  </si>
  <si>
    <t>Layer</t>
  </si>
  <si>
    <t>Abstraction</t>
  </si>
  <si>
    <t>Domain Centricity</t>
  </si>
  <si>
    <t>Unique Domain</t>
  </si>
  <si>
    <t>LOW</t>
  </si>
  <si>
    <t>HIGH</t>
  </si>
  <si>
    <t>Domain Backbone</t>
  </si>
  <si>
    <t>MEDIUM-LOW</t>
  </si>
  <si>
    <t>MEDIUM-HIGH</t>
  </si>
  <si>
    <t>Common Enterprise</t>
  </si>
  <si>
    <t>Foundational</t>
  </si>
  <si>
    <t>ASSESSMENT SUMMARY BY DDPE DIMENSION</t>
  </si>
  <si>
    <t>Assessment Area</t>
  </si>
  <si>
    <t>DDPE Alignment</t>
  </si>
  <si>
    <t>Score</t>
  </si>
  <si>
    <t>Max Score</t>
  </si>
  <si>
    <t>Percentage</t>
  </si>
  <si>
    <t>Bounded Context Readiness</t>
  </si>
  <si>
    <t>Context Boundaries</t>
  </si>
  <si>
    <t>Four-Layer Taxonomy Maturity</t>
  </si>
  <si>
    <t>Service Taxonomy</t>
  </si>
  <si>
    <t>Cognitive Load &amp; Autonomy</t>
  </si>
  <si>
    <t>Team Autonomy</t>
  </si>
  <si>
    <t>Build vs Buy by Layer</t>
  </si>
  <si>
    <t>Abstraction Shift</t>
  </si>
  <si>
    <t>Strategic Investment Signals</t>
  </si>
  <si>
    <t>Platform as Product</t>
  </si>
  <si>
    <t>TOTAL DDPE SCORE</t>
  </si>
  <si>
    <t>DDPE RECOMMENDATION</t>
  </si>
  <si>
    <t>Overall DDPE Score:</t>
  </si>
  <si>
    <t>Recommended Approach:</t>
  </si>
  <si>
    <t>Primary Investment Layer:</t>
  </si>
  <si>
    <t>INVESTMENT PRIORITY BY TAXONOMY LAYER</t>
  </si>
  <si>
    <t>Approach</t>
  </si>
  <si>
    <t>TACTICAL</t>
  </si>
  <si>
    <t>BUY (SaaS/OSS)</t>
  </si>
  <si>
    <t>Minimal</t>
  </si>
  <si>
    <t>Skip</t>
  </si>
  <si>
    <t>Product teams own</t>
  </si>
  <si>
    <t>TRANSITIONAL</t>
  </si>
  <si>
    <t>BUY + Customize</t>
  </si>
  <si>
    <t>BUILD adapters</t>
  </si>
  <si>
    <t>Identify patterns</t>
  </si>
  <si>
    <t>Golden paths</t>
  </si>
  <si>
    <t>STRATEGIC</t>
  </si>
  <si>
    <t>BUILD platform</t>
  </si>
  <si>
    <t>BUILD integration</t>
  </si>
  <si>
    <t>BUILD self-service</t>
  </si>
  <si>
    <t>Accelerate via IDP</t>
  </si>
  <si>
    <t>BOUNDED CONTEXT READINESS ASSESSMENT</t>
  </si>
  <si>
    <t>Evaluating context boundary quality using the DDPE 'independent use' test and cross-team chatter signals</t>
  </si>
  <si>
    <t>🎯 DDPE PRINCIPLE: A well-defined boundary exists when consumers can use a capability independently—without tickets or synchronous coordination</t>
  </si>
  <si>
    <t>Bounded Context Criteria</t>
  </si>
  <si>
    <t>Layer Applicability</t>
  </si>
  <si>
    <t>Current State</t>
  </si>
  <si>
    <t>Score (0-3)</t>
  </si>
  <si>
    <t>Weight</t>
  </si>
  <si>
    <t>Weighted Score</t>
  </si>
  <si>
    <t>Independent Capability Use Test</t>
  </si>
  <si>
    <t>All Layers</t>
  </si>
  <si>
    <t>Cross-team Chatter Frequency</t>
  </si>
  <si>
    <t>Clear Ownership Boundaries</t>
  </si>
  <si>
    <t>Domain Backbone, Unique</t>
  </si>
  <si>
    <t>Self-Service Interface Availability</t>
  </si>
  <si>
    <t>Foundational, Common</t>
  </si>
  <si>
    <t>Ubiquitous Language Consistency</t>
  </si>
  <si>
    <t>API Contract Clarity</t>
  </si>
  <si>
    <t>Deployment Independence</t>
  </si>
  <si>
    <t>Backlog Autonomy</t>
  </si>
  <si>
    <t>Interaction Mode Clarity</t>
  </si>
  <si>
    <t>Conway's Law Alignment</t>
  </si>
  <si>
    <t>TOTALS:</t>
  </si>
  <si>
    <t>SCORING GUIDE: BOUNDED CONTEXT QUALITY</t>
  </si>
  <si>
    <t>Boundary Quality</t>
  </si>
  <si>
    <t>Symptoms</t>
  </si>
  <si>
    <t>DDPE Implication</t>
  </si>
  <si>
    <t>0</t>
  </si>
  <si>
    <t>No boundaries</t>
  </si>
  <si>
    <t>Constant coordination, shared codebases</t>
  </si>
  <si>
    <t>Cannot implement taxonomy layers</t>
  </si>
  <si>
    <t>1</t>
  </si>
  <si>
    <t>Implicit boundaries</t>
  </si>
  <si>
    <t>Informal agreements, frequent surprises</t>
  </si>
  <si>
    <t>Foundational layer only</t>
  </si>
  <si>
    <t>2</t>
  </si>
  <si>
    <t>Documented boundaries</t>
  </si>
  <si>
    <t>Some autonomy, occasional conflicts</t>
  </si>
  <si>
    <t>Ready for Common Enterprise</t>
  </si>
  <si>
    <t>3</t>
  </si>
  <si>
    <t>Enforced boundaries</t>
  </si>
  <si>
    <t>Full autonomy, clear contracts</t>
  </si>
  <si>
    <t>Full taxonomy implementation</t>
  </si>
  <si>
    <t>FOUR-LAYER SERVICE TAXONOMY MATURITY</t>
  </si>
  <si>
    <t>Assess platform capabilities across the DDPE abstraction shift: from generic infrastructure to domain-aware experiences</t>
  </si>
  <si>
    <t>FOUNDATIONAL SERVICES</t>
  </si>
  <si>
    <t>HIGH abstraction, LOW domain centricity — Platform team owns</t>
  </si>
  <si>
    <t>Capability</t>
  </si>
  <si>
    <t>Maturity (0-4)</t>
  </si>
  <si>
    <t>Target State</t>
  </si>
  <si>
    <t>Gap</t>
  </si>
  <si>
    <t>Priority</t>
  </si>
  <si>
    <t>CI/CD Pipeline Standardization</t>
  </si>
  <si>
    <t>Infrastructure-as-Code Templates</t>
  </si>
  <si>
    <t>Service Mesh / Networking</t>
  </si>
  <si>
    <t>Identity &amp; Access Management</t>
  </si>
  <si>
    <t>Observability Stack (Logs, Metrics, Traces)</t>
  </si>
  <si>
    <t>Security Guardrails &amp; Policies</t>
  </si>
  <si>
    <t>COMMON ENTERPRISE SERVICES</t>
  </si>
  <si>
    <t>MEDIUM abstraction — Shared business-wide workflows</t>
  </si>
  <si>
    <t>CRM/ERP Integration Adapters</t>
  </si>
  <si>
    <t>Cross-domain Event Bus</t>
  </si>
  <si>
    <t>Enterprise Data Lake Access</t>
  </si>
  <si>
    <t>Shared Authentication Flows</t>
  </si>
  <si>
    <t>DOMAIN BACKBONE SERVICES</t>
  </si>
  <si>
    <t>LOW abstraction, MEDIUM-HIGH domain centricity — Domain platform teams</t>
  </si>
  <si>
    <t>Domain-specific API Templates</t>
  </si>
  <si>
    <t>Industry Workflow Accelerators</t>
  </si>
  <si>
    <t>Domain Data Models &amp; Schemas</t>
  </si>
  <si>
    <t>Compliance Automation (Domain)</t>
  </si>
  <si>
    <t>UNIQUE DOMAIN SERVICES</t>
  </si>
  <si>
    <t>LOWEST abstraction, HIGHEST domain centricity — Product teams (accelerated by IDP)</t>
  </si>
  <si>
    <t>Golden Path Availability</t>
  </si>
  <si>
    <t>Self-service Scaffolding Tools</t>
  </si>
  <si>
    <t>Domain Context Documentation</t>
  </si>
  <si>
    <t>COGNITIVE LOAD &amp; TEAM AUTONOMY ASSESSMENT</t>
  </si>
  <si>
    <t>Measuring the DDPE impact: reduced cognitive load through domain-aligned self-service platforms</t>
  </si>
  <si>
    <t>⚠️ DDPE THRESHOLD: &gt;6 hrs/week on process complexity = Domain boundaries need refinement OR layer coverage gaps</t>
  </si>
  <si>
    <t>Signal Category</t>
  </si>
  <si>
    <t>DDPE Layer Impact</t>
  </si>
  <si>
    <t>Current Value</t>
  </si>
  <si>
    <t>Weekly Process Complexity Hours</t>
  </si>
  <si>
    <t>All Layers (coverage gap)</t>
  </si>
  <si>
    <t>Tool Fragmentation Level</t>
  </si>
  <si>
    <t>Foundational (standardization)</t>
  </si>
  <si>
    <t>Context Switching Frequency</t>
  </si>
  <si>
    <t>Bounded Context quality</t>
  </si>
  <si>
    <t>Self-Service Availability</t>
  </si>
  <si>
    <t>All Layers (maturity)</t>
  </si>
  <si>
    <t>Time to First Deployment</t>
  </si>
  <si>
    <t>Foundational + Golden Paths</t>
  </si>
  <si>
    <t>Onboarding Time (New Engineers)</t>
  </si>
  <si>
    <t>Domain Backbone docs</t>
  </si>
  <si>
    <t>Cross-team Coordination Overhead</t>
  </si>
  <si>
    <t>Bounded Context clarity</t>
  </si>
  <si>
    <t>Ticket-based vs Self-Service Ratio</t>
  </si>
  <si>
    <t>X-as-a-Service maturity</t>
  </si>
  <si>
    <t>Domain Language Confusion</t>
  </si>
  <si>
    <t>Ubiquitous Language gaps</t>
  </si>
  <si>
    <t>Environment Provisioning Time</t>
  </si>
  <si>
    <t>Foundational layer</t>
  </si>
  <si>
    <t>SCORING REFERENCE: DDPE LAYER IMPLICATIONS</t>
  </si>
  <si>
    <t>Category</t>
  </si>
  <si>
    <t>Score 0 (Tactical OK)</t>
  </si>
  <si>
    <t>Score 3 (Strategic Required)</t>
  </si>
  <si>
    <t>DDPE Fix</t>
  </si>
  <si>
    <t>Process Hours</t>
  </si>
  <si>
    <t>0-2 hrs/week</t>
  </si>
  <si>
    <t>&gt;6 hrs/week</t>
  </si>
  <si>
    <t>Expand layer coverage</t>
  </si>
  <si>
    <t>Self-Service</t>
  </si>
  <si>
    <t>&gt;90% self-serve</t>
  </si>
  <si>
    <t>&lt;50% self-serve</t>
  </si>
  <si>
    <t>X-as-a-Service mode</t>
  </si>
  <si>
    <t>Onboarding</t>
  </si>
  <si>
    <t>&lt;1 week</t>
  </si>
  <si>
    <t>&gt;4 weeks</t>
  </si>
  <si>
    <t>Golden Paths + Domain docs</t>
  </si>
  <si>
    <t>Cross-team Coord</t>
  </si>
  <si>
    <t>Minimal (async)</t>
  </si>
  <si>
    <t>Constant (sync)</t>
  </si>
  <si>
    <t>Refine Bounded Contexts</t>
  </si>
  <si>
    <t>TTFD</t>
  </si>
  <si>
    <t>&lt;1 day</t>
  </si>
  <si>
    <t>&gt;7 days</t>
  </si>
  <si>
    <t>Foundational layer gaps</t>
  </si>
  <si>
    <t>BUILD vs BUY ANALYSIS BY TAXONOMY LAYER</t>
  </si>
  <si>
    <t>DDPE Principle: BUILD differentiators (upper layers), BUY foundations (lower layers) — Follow the abstraction shift</t>
  </si>
  <si>
    <t>🎯 KEY QUESTION: Would competitors gain advantage with this exact capability? YES → BUILD | NO → BUY</t>
  </si>
  <si>
    <t>Taxonomy Layer</t>
  </si>
  <si>
    <t>Differentiation (1-5)</t>
  </si>
  <si>
    <t>Complexity (1-5)</t>
  </si>
  <si>
    <t>Market Maturity (1-5)</t>
  </si>
  <si>
    <t>Decision</t>
  </si>
  <si>
    <t>CI/CD Pipeline</t>
  </si>
  <si>
    <t>Secrets Management</t>
  </si>
  <si>
    <t>Observability Stack</t>
  </si>
  <si>
    <t>Identity/SSO</t>
  </si>
  <si>
    <t>Integration Middleware</t>
  </si>
  <si>
    <t>Enterprise Event Bus</t>
  </si>
  <si>
    <t>Domain API Templates</t>
  </si>
  <si>
    <t>Industry Workflow Tools</t>
  </si>
  <si>
    <t>Golden Path Scaffolding</t>
  </si>
  <si>
    <t>Developer Portal/IDP</t>
  </si>
  <si>
    <t>DDPE BUILD vs BUY DECISION MATRIX BY LAYER</t>
  </si>
  <si>
    <t>Default Recommendation</t>
  </si>
  <si>
    <t>BUILD When...</t>
  </si>
  <si>
    <t>BUY When...</t>
  </si>
  <si>
    <t>BUY (mature market)</t>
  </si>
  <si>
    <t>Unique security/compliance needs</t>
  </si>
  <si>
    <t>Standard enterprise requirements</t>
  </si>
  <si>
    <t>BUY + CUSTOMIZE</t>
  </si>
  <si>
    <t>Deep integration differentiates</t>
  </si>
  <si>
    <t>Standard workflows suffice</t>
  </si>
  <si>
    <t>BUILD</t>
  </si>
  <si>
    <t>Industry-specific IP</t>
  </si>
  <si>
    <t>Generic industry patterns</t>
  </si>
  <si>
    <t>BUILD (always)</t>
  </si>
  <si>
    <t>Core business differentiator</t>
  </si>
  <si>
    <t>N/A - always build</t>
  </si>
  <si>
    <t>STRATEGIC INVESTMENT SIGNALS</t>
  </si>
  <si>
    <t>Evaluate organizational readiness for platform-as-product investment across the full DDPE taxonomy</t>
  </si>
  <si>
    <t>Strategic Signal</t>
  </si>
  <si>
    <t>DDPE Relevance</t>
  </si>
  <si>
    <t>Number of Development Teams (≥3)</t>
  </si>
  <si>
    <t>Scale for taxonomy layers</t>
  </si>
  <si>
    <t>Teams with Shared Architecture</t>
  </si>
  <si>
    <t>Bounded Context candidates</t>
  </si>
  <si>
    <t>Repeated Pattern Implementation</t>
  </si>
  <si>
    <t>Golden Path opportunities</t>
  </si>
  <si>
    <t>Cross-domain Integration Needs</t>
  </si>
  <si>
    <t>Common Enterprise layer</t>
  </si>
  <si>
    <t>Industry-specific Workflows</t>
  </si>
  <si>
    <t>Domain Backbone potential</t>
  </si>
  <si>
    <t>Compliance/Governance Complexity</t>
  </si>
  <si>
    <t>Fitness function need</t>
  </si>
  <si>
    <t>Developer Experience Complaints</t>
  </si>
  <si>
    <t>Abstraction shift need</t>
  </si>
  <si>
    <t>Technical Debt Accumulation</t>
  </si>
  <si>
    <t>Architecture drift</t>
  </si>
  <si>
    <t>Multi-region/Multi-cloud Plans</t>
  </si>
  <si>
    <t>Foundational layer scope</t>
  </si>
  <si>
    <t>Product Team Velocity Variance</t>
  </si>
  <si>
    <t>Unique Domain support gaps</t>
  </si>
  <si>
    <t>DDPE IMPLEMENTATION ACTION PLAN</t>
  </si>
  <si>
    <t>Layer-by-layer implementation roadmap based on your assessment results</t>
  </si>
  <si>
    <t>Your Recommended Approach:</t>
  </si>
  <si>
    <t>TACTICAL APPROACH: LAYER-BY-LAYER ACTIONS</t>
  </si>
  <si>
    <t>TARGET METRICS BY LAYER</t>
  </si>
  <si>
    <t>Action</t>
  </si>
  <si>
    <t>Timeline</t>
  </si>
  <si>
    <t>Key Metric</t>
  </si>
  <si>
    <t>Strategic Target</t>
  </si>
  <si>
    <t>BUY CI/CD (GitHub Actions, GitLab CI)</t>
  </si>
  <si>
    <t>0-1 month</t>
  </si>
  <si>
    <t>Environment Provision Time</t>
  </si>
  <si>
    <t>&lt;1 hour</t>
  </si>
  <si>
    <t>BUY Secrets (Vault, AWS Secrets)</t>
  </si>
  <si>
    <t>TTFD (new service)</t>
  </si>
  <si>
    <t>BUY Observability (Datadog, Grafana)</t>
  </si>
  <si>
    <t>1-2 months</t>
  </si>
  <si>
    <t>Integration Setup Time</t>
  </si>
  <si>
    <t>&lt;4 hours</t>
  </si>
  <si>
    <t>4</t>
  </si>
  <si>
    <t>SKIP - defer until strategic</t>
  </si>
  <si>
    <t>-</t>
  </si>
  <si>
    <t>Cross-domain Event Latency</t>
  </si>
  <si>
    <t>&lt;100ms</t>
  </si>
  <si>
    <t>5</t>
  </si>
  <si>
    <t>IDENTIFY patterns only</t>
  </si>
  <si>
    <t>2-3 months</t>
  </si>
  <si>
    <t>Domain API Adoption</t>
  </si>
  <si>
    <t>&gt;80%</t>
  </si>
  <si>
    <t>6</t>
  </si>
  <si>
    <t>Product teams self-serve</t>
  </si>
  <si>
    <t>Ongoing</t>
  </si>
  <si>
    <t>Compliance Automation</t>
  </si>
  <si>
    <t>&gt;90%</t>
  </si>
  <si>
    <t>7</t>
  </si>
  <si>
    <t>Dogfood with single squad</t>
  </si>
  <si>
    <t>Golden Path Usage</t>
  </si>
  <si>
    <t>&gt;70%</t>
  </si>
  <si>
    <t>8</t>
  </si>
  <si>
    <t>Prove value with 2-3 alpha teams</t>
  </si>
  <si>
    <t>Developer Satisfaction</t>
  </si>
  <si>
    <t>&gt;4.0/5</t>
  </si>
  <si>
    <t>Self-Service Rate</t>
  </si>
  <si>
    <t>Cognitive Load Hours</t>
  </si>
  <si>
    <t>&lt;2 hrs/week</t>
  </si>
  <si>
    <t>STRATEGIC APPROACH: LAYER-BY-LAYER ACTIONS</t>
  </si>
  <si>
    <t>BUILD unified platform layer</t>
  </si>
  <si>
    <t>0-3 months</t>
  </si>
  <si>
    <t>Implement fitness functions</t>
  </si>
  <si>
    <t>1-3 months</t>
  </si>
  <si>
    <t>Standardize IaC templates</t>
  </si>
  <si>
    <t>2-4 months</t>
  </si>
  <si>
    <t>BUILD integration adapters</t>
  </si>
  <si>
    <t>3-6 months</t>
  </si>
  <si>
    <t>Implement enterprise event bus</t>
  </si>
  <si>
    <t>4-8 months</t>
  </si>
  <si>
    <t>BUILD domain-specific APIs</t>
  </si>
  <si>
    <t>4-9 months</t>
  </si>
  <si>
    <t>Create industry workflow accelerators</t>
  </si>
  <si>
    <t>6-12 months</t>
  </si>
  <si>
    <t>BUILD golden path scaffolding</t>
  </si>
  <si>
    <t>9</t>
  </si>
  <si>
    <t>BUILD self-service IDP</t>
  </si>
  <si>
    <t>10</t>
  </si>
  <si>
    <t>Establish DORA/SPACE metrics</t>
  </si>
  <si>
    <t>11</t>
  </si>
  <si>
    <t>Platform product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</si>
</sst>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8"/>
      <color rgb="FF1F4E79"/>
      <name val="Cambria"/>
      <family val="1"/>
    </font>
    <font>
      <i/>
      <sz val="11"/>
      <color rgb="FF666666"/>
      <name val="Cambria"/>
      <family val="1"/>
    </font>
    <font>
      <b/>
      <sz val="11"/>
      <name val="Cambria"/>
      <family val="1"/>
    </font>
    <font>
      <sz val="11"/>
      <color rgb="FF0000FF"/>
      <name val="Cambria"/>
      <family val="1"/>
    </font>
    <font>
      <b/>
      <sz val="11"/>
      <color rgb="FF1F4E79"/>
      <name val="Cambria"/>
      <family val="1"/>
    </font>
    <font>
      <b/>
      <sz val="12"/>
      <color rgb="FFFFFFFF"/>
      <name val="Cambria"/>
      <family val="1"/>
    </font>
    <font>
      <b/>
      <sz val="11"/>
      <color rgb="FFFFFFFF"/>
      <name val="Cambria"/>
      <family val="1"/>
    </font>
    <font>
      <b/>
      <sz val="14"/>
      <color rgb="FFFFFFFF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b/>
      <sz val="12"/>
      <name val="Cambria"/>
      <family val="1"/>
    </font>
    <font>
      <b/>
      <sz val="12"/>
      <color rgb="FF1F4E79"/>
      <name val="Cambria"/>
      <family val="1"/>
    </font>
    <font>
      <b/>
      <sz val="16"/>
      <color rgb="FF1F4E79"/>
      <name val="Cambria"/>
      <family val="1"/>
    </font>
    <font>
      <b/>
      <sz val="11"/>
      <color rgb="FF2E75B6"/>
      <name val="Cambria"/>
      <family val="1"/>
    </font>
    <font>
      <i/>
      <sz val="10"/>
      <name val="Cambria"/>
      <family val="1"/>
    </font>
    <font>
      <i/>
      <sz val="10"/>
      <color rgb="FF666666"/>
      <name val="Cambria"/>
      <family val="1"/>
    </font>
    <font>
      <b/>
      <sz val="10"/>
      <name val="Cambria"/>
      <family val="1"/>
    </font>
    <font>
      <b/>
      <sz val="11"/>
      <color rgb="FFCC0000"/>
      <name val="Cambria"/>
      <family val="1"/>
    </font>
    <font>
      <sz val="10"/>
      <color rgb="FFFFFFFF"/>
      <name val="Cambria"/>
      <family val="1"/>
    </font>
    <font>
      <sz val="10"/>
      <name val="Cambria"/>
      <family val="1"/>
    </font>
    <font>
      <sz val="11"/>
      <color rgb="FFFFFFFF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DEEAF6"/>
        <bgColor rgb="FFD9E2F3"/>
      </patternFill>
    </fill>
    <fill>
      <patternFill patternType="solid">
        <fgColor rgb="FF1F4E79"/>
        <bgColor rgb="FF003366"/>
      </patternFill>
    </fill>
    <fill>
      <patternFill patternType="solid">
        <fgColor rgb="FF9DC3E6"/>
        <bgColor rgb="FFC0C0C0"/>
      </patternFill>
    </fill>
    <fill>
      <patternFill patternType="solid">
        <fgColor rgb="FF5B9BD5"/>
        <bgColor rgb="FF96969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EEAF6"/>
      </patternFill>
    </fill>
    <fill>
      <patternFill patternType="solid">
        <fgColor rgb="FFD9E2F3"/>
        <bgColor rgb="FFDEEAF6"/>
      </patternFill>
    </fill>
    <fill>
      <patternFill patternType="solid">
        <fgColor rgb="FFFFEEEE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5" borderId="0" xfId="0" applyFont="1" applyFill="1"/>
    <xf numFmtId="0" fontId="6" fillId="6" borderId="0" xfId="0" applyFont="1" applyFill="1"/>
    <xf numFmtId="0" fontId="16" fillId="0" borderId="0" xfId="0" applyFont="1"/>
    <xf numFmtId="0" fontId="6" fillId="3" borderId="0" xfId="0" applyFont="1" applyFill="1"/>
    <xf numFmtId="0" fontId="14" fillId="2" borderId="0" xfId="0" applyFont="1" applyFill="1"/>
    <xf numFmtId="0" fontId="2" fillId="0" borderId="0" xfId="0" applyFont="1"/>
    <xf numFmtId="0" fontId="13" fillId="0" borderId="0" xfId="0" applyFont="1"/>
    <xf numFmtId="0" fontId="12" fillId="0" borderId="0" xfId="0" applyFont="1"/>
    <xf numFmtId="0" fontId="11" fillId="7" borderId="0" xfId="0" applyFont="1" applyFill="1"/>
    <xf numFmtId="0" fontId="10" fillId="7" borderId="0" xfId="0" applyFont="1" applyFill="1" applyAlignment="1">
      <alignment horizontal="center"/>
    </xf>
    <xf numFmtId="0" fontId="8" fillId="6" borderId="0" xfId="0" applyFont="1" applyFill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2" fontId="0" fillId="7" borderId="1" xfId="0" applyNumberFormat="1" applyFill="1" applyBorder="1"/>
    <xf numFmtId="2" fontId="0" fillId="0" borderId="1" xfId="0" applyNumberFormat="1" applyBorder="1"/>
    <xf numFmtId="9" fontId="0" fillId="7" borderId="1" xfId="0" applyNumberFormat="1" applyFill="1" applyBorder="1"/>
    <xf numFmtId="0" fontId="3" fillId="0" borderId="1" xfId="0" applyFont="1" applyBorder="1"/>
    <xf numFmtId="2" fontId="3" fillId="7" borderId="1" xfId="0" applyNumberFormat="1" applyFont="1" applyFill="1" applyBorder="1"/>
    <xf numFmtId="9" fontId="3" fillId="7" borderId="1" xfId="0" applyNumberFormat="1" applyFont="1" applyFill="1" applyBorder="1"/>
    <xf numFmtId="9" fontId="9" fillId="7" borderId="0" xfId="0" applyNumberFormat="1" applyFont="1" applyFill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15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7" borderId="1" xfId="0" applyFont="1" applyFill="1" applyBorder="1"/>
    <xf numFmtId="0" fontId="6" fillId="3" borderId="1" xfId="0" applyFont="1" applyFill="1" applyBorder="1"/>
    <xf numFmtId="0" fontId="17" fillId="8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16" fillId="0" borderId="1" xfId="0" applyFont="1" applyBorder="1"/>
    <xf numFmtId="0" fontId="19" fillId="3" borderId="1" xfId="0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7" fillId="3" borderId="1" xfId="0" applyFont="1" applyFill="1" applyBorder="1"/>
    <xf numFmtId="0" fontId="3" fillId="6" borderId="1" xfId="0" applyFont="1" applyFill="1" applyBorder="1"/>
    <xf numFmtId="0" fontId="3" fillId="5" borderId="1" xfId="0" applyFont="1" applyFill="1" applyBorder="1"/>
    <xf numFmtId="0" fontId="3" fillId="4" borderId="1" xfId="0" applyFont="1" applyFill="1" applyBorder="1"/>
    <xf numFmtId="0" fontId="21" fillId="3" borderId="1" xfId="0" applyFont="1" applyFill="1" applyBorder="1"/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0" fontId="6" fillId="4" borderId="0" xfId="0" applyFont="1" applyFill="1"/>
    <xf numFmtId="0" fontId="18" fillId="9" borderId="0" xfId="0" applyFont="1" applyFill="1"/>
    <xf numFmtId="0" fontId="9" fillId="7" borderId="0" xfId="0" applyFont="1" applyFill="1"/>
    <xf numFmtId="0" fontId="8" fillId="5" borderId="0" xfId="0" applyFont="1" applyFill="1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EEEE"/>
      <rgbColor rgb="FFDEEAF6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Normal="100" workbookViewId="0">
      <selection sqref="A1:I1"/>
    </sheetView>
  </sheetViews>
  <sheetFormatPr baseColWidth="10" defaultColWidth="8.6640625" defaultRowHeight="15" x14ac:dyDescent="0.2"/>
  <cols>
    <col min="1" max="1" width="28" customWidth="1"/>
    <col min="2" max="2" width="18" customWidth="1"/>
    <col min="3" max="5" width="12" customWidth="1"/>
    <col min="7" max="7" width="18" customWidth="1"/>
    <col min="8" max="8" width="14" customWidth="1"/>
    <col min="9" max="9" width="16" customWidth="1"/>
  </cols>
  <sheetData>
    <row r="1" spans="1:9" ht="23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x14ac:dyDescent="0.2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4" spans="1:9" x14ac:dyDescent="0.2">
      <c r="A4" s="15" t="s">
        <v>2</v>
      </c>
      <c r="B4" s="16"/>
      <c r="D4" s="15" t="s">
        <v>3</v>
      </c>
      <c r="E4" s="16"/>
      <c r="G4" s="12" t="s">
        <v>4</v>
      </c>
      <c r="H4" s="12"/>
      <c r="I4" s="12"/>
    </row>
    <row r="5" spans="1:9" ht="16" x14ac:dyDescent="0.2">
      <c r="A5" s="15" t="s">
        <v>5</v>
      </c>
      <c r="B5" s="17"/>
      <c r="D5" s="15" t="s">
        <v>6</v>
      </c>
      <c r="E5" s="17"/>
      <c r="G5" s="18" t="s">
        <v>7</v>
      </c>
      <c r="H5" s="18" t="s">
        <v>8</v>
      </c>
      <c r="I5" s="18" t="s">
        <v>9</v>
      </c>
    </row>
    <row r="6" spans="1:9" x14ac:dyDescent="0.2">
      <c r="G6" s="19" t="s">
        <v>10</v>
      </c>
      <c r="H6" s="19" t="s">
        <v>11</v>
      </c>
      <c r="I6" s="19" t="s">
        <v>12</v>
      </c>
    </row>
    <row r="7" spans="1:9" x14ac:dyDescent="0.2">
      <c r="G7" s="20" t="s">
        <v>13</v>
      </c>
      <c r="H7" s="20" t="s">
        <v>14</v>
      </c>
      <c r="I7" s="20" t="s">
        <v>15</v>
      </c>
    </row>
    <row r="8" spans="1:9" x14ac:dyDescent="0.2">
      <c r="G8" s="21" t="s">
        <v>16</v>
      </c>
      <c r="H8" s="21" t="s">
        <v>15</v>
      </c>
      <c r="I8" s="21" t="s">
        <v>14</v>
      </c>
    </row>
    <row r="9" spans="1:9" x14ac:dyDescent="0.2">
      <c r="G9" s="22" t="s">
        <v>17</v>
      </c>
      <c r="H9" s="22" t="s">
        <v>12</v>
      </c>
      <c r="I9" s="22" t="s">
        <v>11</v>
      </c>
    </row>
    <row r="11" spans="1:9" ht="18" x14ac:dyDescent="0.2">
      <c r="A11" s="11" t="s">
        <v>18</v>
      </c>
      <c r="B11" s="11"/>
      <c r="C11" s="11"/>
      <c r="D11" s="11"/>
      <c r="E11" s="11"/>
    </row>
    <row r="12" spans="1:9" ht="16" x14ac:dyDescent="0.2">
      <c r="A12" s="18" t="s">
        <v>19</v>
      </c>
      <c r="B12" s="18" t="s">
        <v>20</v>
      </c>
      <c r="C12" s="18" t="s">
        <v>21</v>
      </c>
      <c r="D12" s="18" t="s">
        <v>22</v>
      </c>
      <c r="E12" s="18" t="s">
        <v>23</v>
      </c>
    </row>
    <row r="13" spans="1:9" x14ac:dyDescent="0.2">
      <c r="A13" s="23" t="s">
        <v>24</v>
      </c>
      <c r="B13" s="24" t="s">
        <v>25</v>
      </c>
      <c r="C13" s="25">
        <f>'Bounded Contexts'!F17</f>
        <v>0</v>
      </c>
      <c r="D13" s="26">
        <f>'Bounded Contexts'!G17</f>
        <v>44.999999999999993</v>
      </c>
      <c r="E13" s="27">
        <f t="shared" ref="E13:E18" si="0">IF(D13=0,0,C13/D13)</f>
        <v>0</v>
      </c>
    </row>
    <row r="14" spans="1:9" x14ac:dyDescent="0.2">
      <c r="A14" s="23" t="s">
        <v>26</v>
      </c>
      <c r="B14" s="24" t="s">
        <v>27</v>
      </c>
      <c r="C14" s="25">
        <f>'Layer Taxonomy'!G19</f>
        <v>0</v>
      </c>
      <c r="D14" s="26">
        <f>'Layer Taxonomy'!H19</f>
        <v>95.2</v>
      </c>
      <c r="E14" s="27">
        <f t="shared" si="0"/>
        <v>0</v>
      </c>
    </row>
    <row r="15" spans="1:9" x14ac:dyDescent="0.2">
      <c r="A15" s="23" t="s">
        <v>28</v>
      </c>
      <c r="B15" s="24" t="s">
        <v>29</v>
      </c>
      <c r="C15" s="25">
        <f>'Cognitive Load'!E18</f>
        <v>0</v>
      </c>
      <c r="D15" s="26">
        <f>'Cognitive Load'!F18</f>
        <v>45.900000000000006</v>
      </c>
      <c r="E15" s="27">
        <f t="shared" si="0"/>
        <v>0</v>
      </c>
    </row>
    <row r="16" spans="1:9" x14ac:dyDescent="0.2">
      <c r="A16" s="23" t="s">
        <v>30</v>
      </c>
      <c r="B16" s="24" t="s">
        <v>31</v>
      </c>
      <c r="C16" s="25">
        <f>'Build vs Buy'!H17</f>
        <v>13.700000000000001</v>
      </c>
      <c r="D16" s="26">
        <f>'Build vs Buy'!I17</f>
        <v>41.1</v>
      </c>
      <c r="E16" s="27">
        <f t="shared" si="0"/>
        <v>0.33333333333333337</v>
      </c>
    </row>
    <row r="17" spans="1:5" x14ac:dyDescent="0.2">
      <c r="A17" s="23" t="s">
        <v>32</v>
      </c>
      <c r="B17" s="24" t="s">
        <v>33</v>
      </c>
      <c r="C17" s="25">
        <f>'Strategic Signals'!E16</f>
        <v>0</v>
      </c>
      <c r="D17" s="26">
        <f>'Strategic Signals'!F16</f>
        <v>39.599999999999994</v>
      </c>
      <c r="E17" s="27">
        <f t="shared" si="0"/>
        <v>0</v>
      </c>
    </row>
    <row r="18" spans="1:5" x14ac:dyDescent="0.2">
      <c r="A18" s="28" t="s">
        <v>34</v>
      </c>
      <c r="B18" s="23"/>
      <c r="C18" s="29">
        <f>SUM(C13:C17)</f>
        <v>13.700000000000001</v>
      </c>
      <c r="D18" s="26">
        <f>SUM(D13:D17)</f>
        <v>266.79999999999995</v>
      </c>
      <c r="E18" s="30">
        <f t="shared" si="0"/>
        <v>5.1349325337331345E-2</v>
      </c>
    </row>
    <row r="20" spans="1:5" ht="18" x14ac:dyDescent="0.2">
      <c r="A20" s="11" t="s">
        <v>35</v>
      </c>
      <c r="B20" s="11"/>
      <c r="C20" s="11"/>
      <c r="D20" s="11"/>
      <c r="E20" s="11"/>
    </row>
    <row r="21" spans="1:5" ht="18" x14ac:dyDescent="0.2">
      <c r="A21" t="s">
        <v>36</v>
      </c>
      <c r="B21" s="31">
        <f>E18</f>
        <v>5.1349325337331345E-2</v>
      </c>
    </row>
    <row r="22" spans="1:5" ht="21" x14ac:dyDescent="0.25">
      <c r="A22" t="s">
        <v>37</v>
      </c>
      <c r="B22" s="10" t="str">
        <f>IF(E18&lt;0.4,"TACTICAL",IF(E18&lt;0.7,"TRANSITIONAL","STRATEGIC"))</f>
        <v>TACTICAL</v>
      </c>
      <c r="C22" s="10"/>
    </row>
    <row r="23" spans="1:5" ht="16" x14ac:dyDescent="0.2">
      <c r="A23" t="s">
        <v>38</v>
      </c>
      <c r="B23" s="9" t="str">
        <f>IF(E18&lt;0.4,"Foundational Services",IF(E18&lt;0.7,"Common Enterprise + Domain Backbone","Full Taxonomy Coverage"))</f>
        <v>Foundational Services</v>
      </c>
      <c r="C23" s="9"/>
    </row>
    <row r="25" spans="1:5" ht="16" x14ac:dyDescent="0.2">
      <c r="A25" s="8" t="s">
        <v>39</v>
      </c>
      <c r="B25" s="8"/>
      <c r="C25" s="8"/>
      <c r="D25" s="8"/>
      <c r="E25" s="8"/>
    </row>
    <row r="26" spans="1:5" ht="16" x14ac:dyDescent="0.2">
      <c r="A26" s="18" t="s">
        <v>40</v>
      </c>
      <c r="B26" s="18" t="s">
        <v>17</v>
      </c>
      <c r="C26" s="18" t="s">
        <v>16</v>
      </c>
      <c r="D26" s="18" t="s">
        <v>13</v>
      </c>
      <c r="E26" s="18" t="s">
        <v>10</v>
      </c>
    </row>
    <row r="27" spans="1:5" x14ac:dyDescent="0.2">
      <c r="A27" s="32" t="s">
        <v>41</v>
      </c>
      <c r="B27" s="33" t="s">
        <v>42</v>
      </c>
      <c r="C27" s="33" t="s">
        <v>43</v>
      </c>
      <c r="D27" s="33" t="s">
        <v>44</v>
      </c>
      <c r="E27" s="33" t="s">
        <v>45</v>
      </c>
    </row>
    <row r="28" spans="1:5" x14ac:dyDescent="0.2">
      <c r="A28" s="32" t="s">
        <v>46</v>
      </c>
      <c r="B28" s="33" t="s">
        <v>47</v>
      </c>
      <c r="C28" s="33" t="s">
        <v>48</v>
      </c>
      <c r="D28" s="33" t="s">
        <v>49</v>
      </c>
      <c r="E28" s="33" t="s">
        <v>50</v>
      </c>
    </row>
    <row r="29" spans="1:5" x14ac:dyDescent="0.2">
      <c r="A29" s="32" t="s">
        <v>51</v>
      </c>
      <c r="B29" s="33" t="s">
        <v>52</v>
      </c>
      <c r="C29" s="33" t="s">
        <v>53</v>
      </c>
      <c r="D29" s="33" t="s">
        <v>54</v>
      </c>
      <c r="E29" s="33" t="s">
        <v>55</v>
      </c>
    </row>
  </sheetData>
  <mergeCells count="8">
    <mergeCell ref="B22:C22"/>
    <mergeCell ref="B23:C23"/>
    <mergeCell ref="A25:E25"/>
    <mergeCell ref="A1:I1"/>
    <mergeCell ref="A2:I2"/>
    <mergeCell ref="G4:I4"/>
    <mergeCell ref="A11:E11"/>
    <mergeCell ref="A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zoomScaleNormal="100" workbookViewId="0">
      <selection sqref="A1:G1"/>
    </sheetView>
  </sheetViews>
  <sheetFormatPr baseColWidth="10" defaultColWidth="8.6640625" defaultRowHeight="15" x14ac:dyDescent="0.2"/>
  <cols>
    <col min="1" max="1" width="35" customWidth="1"/>
    <col min="2" max="2" width="22" customWidth="1"/>
    <col min="3" max="3" width="20" customWidth="1"/>
    <col min="4" max="4" width="12" customWidth="1"/>
    <col min="5" max="5" width="10" customWidth="1"/>
    <col min="6" max="7" width="15" customWidth="1"/>
  </cols>
  <sheetData>
    <row r="1" spans="1:7" ht="21" x14ac:dyDescent="0.25">
      <c r="A1" s="7" t="s">
        <v>56</v>
      </c>
      <c r="B1" s="7"/>
      <c r="C1" s="7"/>
      <c r="D1" s="7"/>
      <c r="E1" s="7"/>
      <c r="F1" s="7"/>
      <c r="G1" s="7"/>
    </row>
    <row r="2" spans="1:7" x14ac:dyDescent="0.2">
      <c r="A2" s="6" t="s">
        <v>57</v>
      </c>
      <c r="B2" s="6"/>
      <c r="C2" s="6"/>
      <c r="D2" s="6"/>
      <c r="E2" s="6"/>
      <c r="F2" s="6"/>
      <c r="G2" s="6"/>
    </row>
    <row r="3" spans="1:7" x14ac:dyDescent="0.2">
      <c r="A3" s="5" t="s">
        <v>58</v>
      </c>
      <c r="B3" s="5"/>
      <c r="C3" s="5"/>
      <c r="D3" s="5"/>
      <c r="E3" s="5"/>
      <c r="F3" s="5"/>
      <c r="G3" s="5"/>
    </row>
    <row r="5" spans="1:7" ht="34" x14ac:dyDescent="0.2">
      <c r="A5" s="34" t="s">
        <v>59</v>
      </c>
      <c r="B5" s="34" t="s">
        <v>60</v>
      </c>
      <c r="C5" s="34" t="s">
        <v>61</v>
      </c>
      <c r="D5" s="34" t="s">
        <v>62</v>
      </c>
      <c r="E5" s="34" t="s">
        <v>63</v>
      </c>
      <c r="F5" s="34" t="s">
        <v>64</v>
      </c>
    </row>
    <row r="6" spans="1:7" x14ac:dyDescent="0.2">
      <c r="A6" s="23" t="s">
        <v>65</v>
      </c>
      <c r="B6" s="35" t="s">
        <v>66</v>
      </c>
      <c r="C6" s="36"/>
      <c r="D6" s="37"/>
      <c r="E6" s="33">
        <v>2</v>
      </c>
      <c r="F6" s="25">
        <f t="shared" ref="F6:F15" si="0">IF(D6="",0,D6*E6)</f>
        <v>0</v>
      </c>
    </row>
    <row r="7" spans="1:7" x14ac:dyDescent="0.2">
      <c r="A7" s="23" t="s">
        <v>67</v>
      </c>
      <c r="B7" s="35" t="s">
        <v>66</v>
      </c>
      <c r="C7" s="36"/>
      <c r="D7" s="37"/>
      <c r="E7" s="33">
        <v>1.8</v>
      </c>
      <c r="F7" s="25">
        <f t="shared" si="0"/>
        <v>0</v>
      </c>
    </row>
    <row r="8" spans="1:7" x14ac:dyDescent="0.2">
      <c r="A8" s="23" t="s">
        <v>68</v>
      </c>
      <c r="B8" s="35" t="s">
        <v>69</v>
      </c>
      <c r="C8" s="36"/>
      <c r="D8" s="37"/>
      <c r="E8" s="33">
        <v>1.5</v>
      </c>
      <c r="F8" s="25">
        <f t="shared" si="0"/>
        <v>0</v>
      </c>
    </row>
    <row r="9" spans="1:7" x14ac:dyDescent="0.2">
      <c r="A9" s="23" t="s">
        <v>70</v>
      </c>
      <c r="B9" s="35" t="s">
        <v>71</v>
      </c>
      <c r="C9" s="36"/>
      <c r="D9" s="37"/>
      <c r="E9" s="33">
        <v>1.8</v>
      </c>
      <c r="F9" s="25">
        <f t="shared" si="0"/>
        <v>0</v>
      </c>
    </row>
    <row r="10" spans="1:7" x14ac:dyDescent="0.2">
      <c r="A10" s="23" t="s">
        <v>72</v>
      </c>
      <c r="B10" s="35" t="s">
        <v>66</v>
      </c>
      <c r="C10" s="36"/>
      <c r="D10" s="37"/>
      <c r="E10" s="33">
        <v>1.5</v>
      </c>
      <c r="F10" s="25">
        <f t="shared" si="0"/>
        <v>0</v>
      </c>
    </row>
    <row r="11" spans="1:7" x14ac:dyDescent="0.2">
      <c r="A11" s="23" t="s">
        <v>73</v>
      </c>
      <c r="B11" s="35" t="s">
        <v>66</v>
      </c>
      <c r="C11" s="36"/>
      <c r="D11" s="37"/>
      <c r="E11" s="33">
        <v>1.5</v>
      </c>
      <c r="F11" s="25">
        <f t="shared" si="0"/>
        <v>0</v>
      </c>
    </row>
    <row r="12" spans="1:7" x14ac:dyDescent="0.2">
      <c r="A12" s="23" t="s">
        <v>74</v>
      </c>
      <c r="B12" s="35" t="s">
        <v>69</v>
      </c>
      <c r="C12" s="36"/>
      <c r="D12" s="37"/>
      <c r="E12" s="33">
        <v>1.2</v>
      </c>
      <c r="F12" s="25">
        <f t="shared" si="0"/>
        <v>0</v>
      </c>
    </row>
    <row r="13" spans="1:7" x14ac:dyDescent="0.2">
      <c r="A13" s="23" t="s">
        <v>75</v>
      </c>
      <c r="B13" s="35" t="s">
        <v>66</v>
      </c>
      <c r="C13" s="36"/>
      <c r="D13" s="37"/>
      <c r="E13" s="33">
        <v>1.2</v>
      </c>
      <c r="F13" s="25">
        <f t="shared" si="0"/>
        <v>0</v>
      </c>
    </row>
    <row r="14" spans="1:7" x14ac:dyDescent="0.2">
      <c r="A14" s="23" t="s">
        <v>76</v>
      </c>
      <c r="B14" s="35" t="s">
        <v>66</v>
      </c>
      <c r="C14" s="36"/>
      <c r="D14" s="37"/>
      <c r="E14" s="33">
        <v>1.5</v>
      </c>
      <c r="F14" s="25">
        <f t="shared" si="0"/>
        <v>0</v>
      </c>
    </row>
    <row r="15" spans="1:7" x14ac:dyDescent="0.2">
      <c r="A15" s="23" t="s">
        <v>77</v>
      </c>
      <c r="B15" s="35" t="s">
        <v>66</v>
      </c>
      <c r="C15" s="36"/>
      <c r="D15" s="37"/>
      <c r="E15" s="33">
        <v>1</v>
      </c>
      <c r="F15" s="25">
        <f t="shared" si="0"/>
        <v>0</v>
      </c>
    </row>
    <row r="17" spans="1:7" x14ac:dyDescent="0.2">
      <c r="E17" s="15" t="s">
        <v>78</v>
      </c>
      <c r="F17" s="29">
        <f>SUM(F6:F15)</f>
        <v>0</v>
      </c>
      <c r="G17" s="38">
        <f>SUM(E6:E15)*3</f>
        <v>44.999999999999993</v>
      </c>
    </row>
    <row r="19" spans="1:7" ht="16" x14ac:dyDescent="0.2">
      <c r="A19" s="8" t="s">
        <v>79</v>
      </c>
      <c r="B19" s="8"/>
      <c r="C19" s="8"/>
      <c r="D19" s="8"/>
      <c r="E19" s="8"/>
      <c r="F19" s="8"/>
      <c r="G19" s="8"/>
    </row>
    <row r="20" spans="1:7" ht="16" x14ac:dyDescent="0.2">
      <c r="A20" s="39" t="s">
        <v>21</v>
      </c>
      <c r="B20" s="39" t="s">
        <v>80</v>
      </c>
      <c r="C20" s="39" t="s">
        <v>81</v>
      </c>
      <c r="D20" s="39" t="s">
        <v>82</v>
      </c>
    </row>
    <row r="21" spans="1:7" x14ac:dyDescent="0.2">
      <c r="A21" s="23" t="s">
        <v>83</v>
      </c>
      <c r="B21" s="23" t="s">
        <v>84</v>
      </c>
      <c r="C21" s="23" t="s">
        <v>85</v>
      </c>
      <c r="D21" s="23" t="s">
        <v>86</v>
      </c>
    </row>
    <row r="22" spans="1:7" x14ac:dyDescent="0.2">
      <c r="A22" s="23" t="s">
        <v>87</v>
      </c>
      <c r="B22" s="23" t="s">
        <v>88</v>
      </c>
      <c r="C22" s="23" t="s">
        <v>89</v>
      </c>
      <c r="D22" s="23" t="s">
        <v>90</v>
      </c>
    </row>
    <row r="23" spans="1:7" x14ac:dyDescent="0.2">
      <c r="A23" s="23" t="s">
        <v>91</v>
      </c>
      <c r="B23" s="23" t="s">
        <v>92</v>
      </c>
      <c r="C23" s="23" t="s">
        <v>93</v>
      </c>
      <c r="D23" s="23" t="s">
        <v>94</v>
      </c>
    </row>
    <row r="24" spans="1:7" x14ac:dyDescent="0.2">
      <c r="A24" s="23" t="s">
        <v>95</v>
      </c>
      <c r="B24" s="23" t="s">
        <v>96</v>
      </c>
      <c r="C24" s="23" t="s">
        <v>97</v>
      </c>
      <c r="D24" s="23" t="s">
        <v>98</v>
      </c>
    </row>
  </sheetData>
  <mergeCells count="4">
    <mergeCell ref="A1:G1"/>
    <mergeCell ref="A2:G2"/>
    <mergeCell ref="A3:G3"/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zoomScaleNormal="100" workbookViewId="0">
      <selection sqref="A1:H1"/>
    </sheetView>
  </sheetViews>
  <sheetFormatPr baseColWidth="10" defaultColWidth="8.6640625" defaultRowHeight="15" x14ac:dyDescent="0.2"/>
  <cols>
    <col min="1" max="1" width="35" customWidth="1"/>
    <col min="2" max="2" width="18" customWidth="1"/>
    <col min="3" max="3" width="14" customWidth="1"/>
    <col min="4" max="4" width="10" customWidth="1"/>
    <col min="5" max="6" width="14" customWidth="1"/>
    <col min="7" max="8" width="10" customWidth="1"/>
  </cols>
  <sheetData>
    <row r="1" spans="1:8" ht="21" x14ac:dyDescent="0.25">
      <c r="A1" s="7" t="s">
        <v>99</v>
      </c>
      <c r="B1" s="7"/>
      <c r="C1" s="7"/>
      <c r="D1" s="7"/>
      <c r="E1" s="7"/>
      <c r="F1" s="7"/>
      <c r="G1" s="7"/>
      <c r="H1" s="7"/>
    </row>
    <row r="2" spans="1:8" x14ac:dyDescent="0.2">
      <c r="A2" s="6" t="s">
        <v>100</v>
      </c>
      <c r="B2" s="6"/>
      <c r="C2" s="6"/>
      <c r="D2" s="6"/>
      <c r="E2" s="6"/>
      <c r="F2" s="6"/>
      <c r="G2" s="6"/>
      <c r="H2" s="6"/>
    </row>
    <row r="4" spans="1:8" ht="16" x14ac:dyDescent="0.2">
      <c r="A4" s="4" t="s">
        <v>101</v>
      </c>
      <c r="B4" s="4"/>
      <c r="C4" s="4"/>
      <c r="D4" s="4"/>
      <c r="E4" s="4"/>
      <c r="F4" s="4"/>
      <c r="G4" s="4"/>
      <c r="H4" s="4"/>
    </row>
    <row r="5" spans="1:8" x14ac:dyDescent="0.2">
      <c r="A5" s="3" t="s">
        <v>102</v>
      </c>
      <c r="B5" s="3"/>
      <c r="C5" s="3"/>
      <c r="D5" s="3"/>
      <c r="E5" s="3"/>
      <c r="F5" s="3"/>
      <c r="G5" s="3"/>
      <c r="H5" s="3"/>
    </row>
    <row r="6" spans="1:8" x14ac:dyDescent="0.2">
      <c r="A6" s="40" t="s">
        <v>103</v>
      </c>
      <c r="B6" s="40" t="s">
        <v>61</v>
      </c>
      <c r="C6" s="40" t="s">
        <v>104</v>
      </c>
      <c r="D6" s="40" t="s">
        <v>63</v>
      </c>
      <c r="E6" s="40" t="s">
        <v>64</v>
      </c>
      <c r="F6" s="40" t="s">
        <v>105</v>
      </c>
      <c r="G6" s="40" t="s">
        <v>106</v>
      </c>
      <c r="H6" s="40" t="s">
        <v>107</v>
      </c>
    </row>
    <row r="7" spans="1:8" x14ac:dyDescent="0.2">
      <c r="A7" s="23" t="s">
        <v>108</v>
      </c>
      <c r="B7" s="36"/>
      <c r="C7" s="37"/>
      <c r="D7" s="33">
        <v>1.5</v>
      </c>
      <c r="E7" s="25">
        <f t="shared" ref="E7:E12" si="0">IF(C7="",0,C7*D7)</f>
        <v>0</v>
      </c>
      <c r="F7" s="37"/>
      <c r="G7" s="41" t="str">
        <f t="shared" ref="G7:G12" si="1">IF(OR(F7="",C7=""),"-",F7-C7)</f>
        <v>-</v>
      </c>
      <c r="H7" s="41" t="str">
        <f t="shared" ref="H7:H12" si="2">IF(G7="-","-",IF(G7&gt;=2,"HIGH",IF(G7&gt;=1,"MEDIUM","LOW")))</f>
        <v>-</v>
      </c>
    </row>
    <row r="8" spans="1:8" x14ac:dyDescent="0.2">
      <c r="A8" s="23" t="s">
        <v>109</v>
      </c>
      <c r="B8" s="36"/>
      <c r="C8" s="37"/>
      <c r="D8" s="33">
        <v>1.5</v>
      </c>
      <c r="E8" s="25">
        <f t="shared" si="0"/>
        <v>0</v>
      </c>
      <c r="F8" s="37"/>
      <c r="G8" s="41" t="str">
        <f t="shared" si="1"/>
        <v>-</v>
      </c>
      <c r="H8" s="41" t="str">
        <f t="shared" si="2"/>
        <v>-</v>
      </c>
    </row>
    <row r="9" spans="1:8" x14ac:dyDescent="0.2">
      <c r="A9" s="23" t="s">
        <v>110</v>
      </c>
      <c r="B9" s="36"/>
      <c r="C9" s="37"/>
      <c r="D9" s="33">
        <v>1.2</v>
      </c>
      <c r="E9" s="25">
        <f t="shared" si="0"/>
        <v>0</v>
      </c>
      <c r="F9" s="37"/>
      <c r="G9" s="41" t="str">
        <f t="shared" si="1"/>
        <v>-</v>
      </c>
      <c r="H9" s="41" t="str">
        <f t="shared" si="2"/>
        <v>-</v>
      </c>
    </row>
    <row r="10" spans="1:8" x14ac:dyDescent="0.2">
      <c r="A10" s="23" t="s">
        <v>111</v>
      </c>
      <c r="B10" s="36"/>
      <c r="C10" s="37"/>
      <c r="D10" s="33">
        <v>1.3</v>
      </c>
      <c r="E10" s="25">
        <f t="shared" si="0"/>
        <v>0</v>
      </c>
      <c r="F10" s="37"/>
      <c r="G10" s="41" t="str">
        <f t="shared" si="1"/>
        <v>-</v>
      </c>
      <c r="H10" s="41" t="str">
        <f t="shared" si="2"/>
        <v>-</v>
      </c>
    </row>
    <row r="11" spans="1:8" x14ac:dyDescent="0.2">
      <c r="A11" s="23" t="s">
        <v>112</v>
      </c>
      <c r="B11" s="36"/>
      <c r="C11" s="37"/>
      <c r="D11" s="33">
        <v>1.5</v>
      </c>
      <c r="E11" s="25">
        <f t="shared" si="0"/>
        <v>0</v>
      </c>
      <c r="F11" s="37"/>
      <c r="G11" s="41" t="str">
        <f t="shared" si="1"/>
        <v>-</v>
      </c>
      <c r="H11" s="41" t="str">
        <f t="shared" si="2"/>
        <v>-</v>
      </c>
    </row>
    <row r="12" spans="1:8" x14ac:dyDescent="0.2">
      <c r="A12" s="23" t="s">
        <v>113</v>
      </c>
      <c r="B12" s="36"/>
      <c r="C12" s="37"/>
      <c r="D12" s="33">
        <v>1.2</v>
      </c>
      <c r="E12" s="25">
        <f t="shared" si="0"/>
        <v>0</v>
      </c>
      <c r="F12" s="37"/>
      <c r="G12" s="41" t="str">
        <f t="shared" si="1"/>
        <v>-</v>
      </c>
      <c r="H12" s="41" t="str">
        <f t="shared" si="2"/>
        <v>-</v>
      </c>
    </row>
    <row r="14" spans="1:8" ht="16" x14ac:dyDescent="0.2">
      <c r="A14" s="2" t="s">
        <v>114</v>
      </c>
      <c r="B14" s="2"/>
      <c r="C14" s="2"/>
      <c r="D14" s="2"/>
      <c r="E14" s="2"/>
      <c r="F14" s="2"/>
      <c r="G14" s="2"/>
      <c r="H14" s="2"/>
    </row>
    <row r="15" spans="1:8" x14ac:dyDescent="0.2">
      <c r="A15" s="3" t="s">
        <v>115</v>
      </c>
      <c r="B15" s="3"/>
      <c r="C15" s="3"/>
      <c r="D15" s="3"/>
      <c r="E15" s="3"/>
      <c r="F15" s="3"/>
      <c r="G15" s="3"/>
      <c r="H15" s="3"/>
    </row>
    <row r="16" spans="1:8" x14ac:dyDescent="0.2">
      <c r="A16" s="40" t="s">
        <v>103</v>
      </c>
      <c r="B16" s="40" t="s">
        <v>61</v>
      </c>
      <c r="C16" s="40" t="s">
        <v>104</v>
      </c>
      <c r="D16" s="40" t="s">
        <v>63</v>
      </c>
      <c r="E16" s="40" t="s">
        <v>64</v>
      </c>
      <c r="F16" s="40" t="s">
        <v>105</v>
      </c>
      <c r="G16" s="40" t="s">
        <v>106</v>
      </c>
      <c r="H16" s="40" t="s">
        <v>107</v>
      </c>
    </row>
    <row r="17" spans="1:8" x14ac:dyDescent="0.2">
      <c r="A17" s="23" t="s">
        <v>116</v>
      </c>
      <c r="B17" s="36"/>
      <c r="C17" s="37"/>
      <c r="D17" s="33">
        <v>1</v>
      </c>
      <c r="E17" s="25">
        <f>IF(C17="",0,C17*D17)</f>
        <v>0</v>
      </c>
      <c r="F17" s="37"/>
      <c r="G17" s="41" t="str">
        <f>IF(OR(F17="",C17=""),"-",F17-C17)</f>
        <v>-</v>
      </c>
      <c r="H17" s="41" t="str">
        <f>IF(G17="-","-",IF(G17&gt;=2,"HIGH",IF(G17&gt;=1,"MEDIUM","LOW")))</f>
        <v>-</v>
      </c>
    </row>
    <row r="18" spans="1:8" x14ac:dyDescent="0.2">
      <c r="A18" s="23" t="s">
        <v>117</v>
      </c>
      <c r="B18" s="36"/>
      <c r="C18" s="37"/>
      <c r="D18" s="33">
        <v>1.2</v>
      </c>
      <c r="E18" s="25">
        <f>IF(C18="",0,C18*D18)</f>
        <v>0</v>
      </c>
      <c r="F18" s="37"/>
      <c r="G18" s="41" t="str">
        <f>IF(OR(F18="",C18=""),"-",F18-C18)</f>
        <v>-</v>
      </c>
      <c r="H18" s="41" t="str">
        <f>IF(G18="-","-",IF(G18&gt;=2,"HIGH",IF(G18&gt;=1,"MEDIUM","LOW")))</f>
        <v>-</v>
      </c>
    </row>
    <row r="19" spans="1:8" x14ac:dyDescent="0.2">
      <c r="A19" s="23" t="s">
        <v>118</v>
      </c>
      <c r="B19" s="36"/>
      <c r="C19" s="37"/>
      <c r="D19" s="33">
        <v>1</v>
      </c>
      <c r="E19" s="25">
        <f>IF(C19="",0,C19*D19)</f>
        <v>0</v>
      </c>
      <c r="F19" s="37"/>
      <c r="G19" s="42">
        <f>G37</f>
        <v>0</v>
      </c>
      <c r="H19" s="41">
        <f>H37</f>
        <v>95.2</v>
      </c>
    </row>
    <row r="20" spans="1:8" x14ac:dyDescent="0.2">
      <c r="A20" s="23" t="s">
        <v>119</v>
      </c>
      <c r="B20" s="36"/>
      <c r="C20" s="37"/>
      <c r="D20" s="33">
        <v>1.3</v>
      </c>
      <c r="E20" s="25">
        <f>IF(C20="",0,C20*D20)</f>
        <v>0</v>
      </c>
      <c r="F20" s="37"/>
      <c r="G20" s="41" t="str">
        <f>IF(OR(F20="",C20=""),"-",F20-C20)</f>
        <v>-</v>
      </c>
      <c r="H20" s="41" t="str">
        <f>IF(G20="-","-",IF(G20&gt;=2,"HIGH",IF(G20&gt;=1,"MEDIUM","LOW")))</f>
        <v>-</v>
      </c>
    </row>
    <row r="22" spans="1:8" ht="16" x14ac:dyDescent="0.2">
      <c r="A22" s="1" t="s">
        <v>120</v>
      </c>
      <c r="B22" s="1"/>
      <c r="C22" s="1"/>
      <c r="D22" s="1"/>
      <c r="E22" s="1"/>
      <c r="F22" s="1"/>
      <c r="G22" s="1"/>
      <c r="H22" s="1"/>
    </row>
    <row r="23" spans="1:8" x14ac:dyDescent="0.2">
      <c r="A23" s="3" t="s">
        <v>121</v>
      </c>
      <c r="B23" s="3"/>
      <c r="C23" s="3"/>
      <c r="D23" s="3"/>
      <c r="E23" s="3"/>
      <c r="F23" s="3"/>
      <c r="G23" s="3"/>
      <c r="H23" s="3"/>
    </row>
    <row r="24" spans="1:8" x14ac:dyDescent="0.2">
      <c r="A24" s="40" t="s">
        <v>103</v>
      </c>
      <c r="B24" s="40" t="s">
        <v>61</v>
      </c>
      <c r="C24" s="40" t="s">
        <v>104</v>
      </c>
      <c r="D24" s="40" t="s">
        <v>63</v>
      </c>
      <c r="E24" s="40" t="s">
        <v>64</v>
      </c>
      <c r="F24" s="40" t="s">
        <v>105</v>
      </c>
      <c r="G24" s="40" t="s">
        <v>106</v>
      </c>
      <c r="H24" s="40" t="s">
        <v>107</v>
      </c>
    </row>
    <row r="25" spans="1:8" x14ac:dyDescent="0.2">
      <c r="A25" s="23" t="s">
        <v>122</v>
      </c>
      <c r="B25" s="36"/>
      <c r="C25" s="37"/>
      <c r="D25" s="33">
        <v>1.8</v>
      </c>
      <c r="E25" s="25">
        <f>IF(C25="",0,C25*D25)</f>
        <v>0</v>
      </c>
      <c r="F25" s="37"/>
      <c r="G25" s="41" t="str">
        <f>IF(OR(F25="",C25=""),"-",F25-C25)</f>
        <v>-</v>
      </c>
      <c r="H25" s="41" t="str">
        <f>IF(G25="-","-",IF(G25&gt;=2,"HIGH",IF(G25&gt;=1,"MEDIUM","LOW")))</f>
        <v>-</v>
      </c>
    </row>
    <row r="26" spans="1:8" x14ac:dyDescent="0.2">
      <c r="A26" s="23" t="s">
        <v>123</v>
      </c>
      <c r="B26" s="36"/>
      <c r="C26" s="37"/>
      <c r="D26" s="33">
        <v>1.5</v>
      </c>
      <c r="E26" s="25">
        <f>IF(C26="",0,C26*D26)</f>
        <v>0</v>
      </c>
      <c r="F26" s="37"/>
      <c r="G26" s="41" t="str">
        <f>IF(OR(F26="",C26=""),"-",F26-C26)</f>
        <v>-</v>
      </c>
      <c r="H26" s="41" t="str">
        <f>IF(G26="-","-",IF(G26&gt;=2,"HIGH",IF(G26&gt;=1,"MEDIUM","LOW")))</f>
        <v>-</v>
      </c>
    </row>
    <row r="27" spans="1:8" x14ac:dyDescent="0.2">
      <c r="A27" s="23" t="s">
        <v>124</v>
      </c>
      <c r="B27" s="36"/>
      <c r="C27" s="37"/>
      <c r="D27" s="33">
        <v>1.5</v>
      </c>
      <c r="E27" s="25">
        <f>IF(C27="",0,C27*D27)</f>
        <v>0</v>
      </c>
      <c r="F27" s="37"/>
      <c r="G27" s="41" t="str">
        <f>IF(OR(F27="",C27=""),"-",F27-C27)</f>
        <v>-</v>
      </c>
      <c r="H27" s="41" t="str">
        <f>IF(G27="-","-",IF(G27&gt;=2,"HIGH",IF(G27&gt;=1,"MEDIUM","LOW")))</f>
        <v>-</v>
      </c>
    </row>
    <row r="28" spans="1:8" x14ac:dyDescent="0.2">
      <c r="A28" s="23" t="s">
        <v>125</v>
      </c>
      <c r="B28" s="36"/>
      <c r="C28" s="37"/>
      <c r="D28" s="33">
        <v>1.3</v>
      </c>
      <c r="E28" s="25">
        <f>IF(C28="",0,C28*D28)</f>
        <v>0</v>
      </c>
      <c r="F28" s="37"/>
      <c r="G28" s="41" t="str">
        <f>IF(OR(F28="",C28=""),"-",F28-C28)</f>
        <v>-</v>
      </c>
      <c r="H28" s="41" t="str">
        <f>IF(G28="-","-",IF(G28&gt;=2,"HIGH",IF(G28&gt;=1,"MEDIUM","LOW")))</f>
        <v>-</v>
      </c>
    </row>
    <row r="30" spans="1:8" ht="16" x14ac:dyDescent="0.2">
      <c r="A30" s="56" t="s">
        <v>126</v>
      </c>
      <c r="B30" s="56"/>
      <c r="C30" s="56"/>
      <c r="D30" s="56"/>
      <c r="E30" s="56"/>
      <c r="F30" s="56"/>
      <c r="G30" s="56"/>
      <c r="H30" s="56"/>
    </row>
    <row r="31" spans="1:8" x14ac:dyDescent="0.2">
      <c r="A31" s="3" t="s">
        <v>127</v>
      </c>
      <c r="B31" s="3"/>
      <c r="C31" s="3"/>
      <c r="D31" s="3"/>
      <c r="E31" s="3"/>
      <c r="F31" s="3"/>
      <c r="G31" s="3"/>
      <c r="H31" s="3"/>
    </row>
    <row r="32" spans="1:8" x14ac:dyDescent="0.2">
      <c r="A32" s="40" t="s">
        <v>103</v>
      </c>
      <c r="B32" s="40" t="s">
        <v>61</v>
      </c>
      <c r="C32" s="40" t="s">
        <v>104</v>
      </c>
      <c r="D32" s="40" t="s">
        <v>63</v>
      </c>
      <c r="E32" s="40" t="s">
        <v>64</v>
      </c>
      <c r="F32" s="40" t="s">
        <v>105</v>
      </c>
      <c r="G32" s="40" t="s">
        <v>106</v>
      </c>
      <c r="H32" s="40" t="s">
        <v>107</v>
      </c>
    </row>
    <row r="33" spans="1:8" x14ac:dyDescent="0.2">
      <c r="A33" s="23" t="s">
        <v>128</v>
      </c>
      <c r="B33" s="36"/>
      <c r="C33" s="37"/>
      <c r="D33" s="33">
        <v>2</v>
      </c>
      <c r="E33" s="25">
        <f>IF(C33="",0,C33*D33)</f>
        <v>0</v>
      </c>
      <c r="F33" s="37"/>
      <c r="G33" s="41" t="str">
        <f>IF(OR(F33="",C33=""),"-",F33-C33)</f>
        <v>-</v>
      </c>
      <c r="H33" s="41" t="str">
        <f>IF(G33="-","-",IF(G33&gt;=2,"HIGH",IF(G33&gt;=1,"MEDIUM","LOW")))</f>
        <v>-</v>
      </c>
    </row>
    <row r="34" spans="1:8" x14ac:dyDescent="0.2">
      <c r="A34" s="23" t="s">
        <v>129</v>
      </c>
      <c r="B34" s="36"/>
      <c r="C34" s="37"/>
      <c r="D34" s="33">
        <v>1.8</v>
      </c>
      <c r="E34" s="25">
        <f>IF(C34="",0,C34*D34)</f>
        <v>0</v>
      </c>
      <c r="F34" s="37"/>
      <c r="G34" s="41" t="str">
        <f>IF(OR(F34="",C34=""),"-",F34-C34)</f>
        <v>-</v>
      </c>
      <c r="H34" s="41" t="str">
        <f>IF(G34="-","-",IF(G34&gt;=2,"HIGH",IF(G34&gt;=1,"MEDIUM","LOW")))</f>
        <v>-</v>
      </c>
    </row>
    <row r="35" spans="1:8" x14ac:dyDescent="0.2">
      <c r="A35" s="23" t="s">
        <v>130</v>
      </c>
      <c r="B35" s="36"/>
      <c r="C35" s="37"/>
      <c r="D35" s="33">
        <v>1.2</v>
      </c>
      <c r="E35" s="25">
        <f>IF(C35="",0,C35*D35)</f>
        <v>0</v>
      </c>
      <c r="F35" s="37"/>
      <c r="G35" s="41" t="str">
        <f>IF(OR(F35="",C35=""),"-",F35-C35)</f>
        <v>-</v>
      </c>
      <c r="H35" s="41" t="str">
        <f>IF(G35="-","-",IF(G35&gt;=2,"HIGH",IF(G35&gt;=1,"MEDIUM","LOW")))</f>
        <v>-</v>
      </c>
    </row>
    <row r="37" spans="1:8" x14ac:dyDescent="0.2">
      <c r="F37" s="15" t="s">
        <v>78</v>
      </c>
      <c r="G37" s="29">
        <f>SUM(E5:E35)</f>
        <v>0</v>
      </c>
      <c r="H37" s="38">
        <f>SUM(D5:D35)*4</f>
        <v>95.2</v>
      </c>
    </row>
  </sheetData>
  <mergeCells count="10">
    <mergeCell ref="A15:H15"/>
    <mergeCell ref="A22:H22"/>
    <mergeCell ref="A23:H23"/>
    <mergeCell ref="A30:H30"/>
    <mergeCell ref="A31:H31"/>
    <mergeCell ref="A1:H1"/>
    <mergeCell ref="A2:H2"/>
    <mergeCell ref="A4:H4"/>
    <mergeCell ref="A5:H5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32" customWidth="1"/>
    <col min="2" max="2" width="22" customWidth="1"/>
    <col min="3" max="3" width="18" customWidth="1"/>
    <col min="4" max="4" width="12" customWidth="1"/>
    <col min="5" max="5" width="10" customWidth="1"/>
    <col min="6" max="6" width="15" customWidth="1"/>
  </cols>
  <sheetData>
    <row r="1" spans="1:6" ht="21" x14ac:dyDescent="0.25">
      <c r="A1" s="7" t="s">
        <v>131</v>
      </c>
      <c r="B1" s="7"/>
      <c r="C1" s="7"/>
      <c r="D1" s="7"/>
      <c r="E1" s="7"/>
      <c r="F1" s="7"/>
    </row>
    <row r="2" spans="1:6" x14ac:dyDescent="0.2">
      <c r="A2" s="6" t="s">
        <v>132</v>
      </c>
      <c r="B2" s="6"/>
      <c r="C2" s="6"/>
      <c r="D2" s="6"/>
      <c r="E2" s="6"/>
      <c r="F2" s="6"/>
    </row>
    <row r="3" spans="1:6" x14ac:dyDescent="0.2">
      <c r="A3" s="57" t="s">
        <v>133</v>
      </c>
      <c r="B3" s="57"/>
      <c r="C3" s="57"/>
      <c r="D3" s="57"/>
      <c r="E3" s="57"/>
      <c r="F3" s="57"/>
    </row>
    <row r="5" spans="1:6" ht="34" x14ac:dyDescent="0.2">
      <c r="A5" s="34" t="s">
        <v>134</v>
      </c>
      <c r="B5" s="34" t="s">
        <v>135</v>
      </c>
      <c r="C5" s="34" t="s">
        <v>136</v>
      </c>
      <c r="D5" s="34" t="s">
        <v>62</v>
      </c>
      <c r="E5" s="34" t="s">
        <v>63</v>
      </c>
      <c r="F5" s="34" t="s">
        <v>64</v>
      </c>
    </row>
    <row r="6" spans="1:6" x14ac:dyDescent="0.2">
      <c r="A6" s="23" t="s">
        <v>137</v>
      </c>
      <c r="B6" s="43" t="s">
        <v>138</v>
      </c>
      <c r="C6" s="36"/>
      <c r="D6" s="37"/>
      <c r="E6" s="33">
        <v>2</v>
      </c>
      <c r="F6" s="25">
        <f t="shared" ref="F6:F15" si="0">IF(D6="",0,D6*E6)</f>
        <v>0</v>
      </c>
    </row>
    <row r="7" spans="1:6" x14ac:dyDescent="0.2">
      <c r="A7" s="23" t="s">
        <v>139</v>
      </c>
      <c r="B7" s="43" t="s">
        <v>140</v>
      </c>
      <c r="C7" s="36"/>
      <c r="D7" s="37"/>
      <c r="E7" s="33">
        <v>1.5</v>
      </c>
      <c r="F7" s="25">
        <f t="shared" si="0"/>
        <v>0</v>
      </c>
    </row>
    <row r="8" spans="1:6" x14ac:dyDescent="0.2">
      <c r="A8" s="23" t="s">
        <v>141</v>
      </c>
      <c r="B8" s="43" t="s">
        <v>142</v>
      </c>
      <c r="C8" s="36"/>
      <c r="D8" s="37"/>
      <c r="E8" s="33">
        <v>1.2</v>
      </c>
      <c r="F8" s="25">
        <f t="shared" si="0"/>
        <v>0</v>
      </c>
    </row>
    <row r="9" spans="1:6" x14ac:dyDescent="0.2">
      <c r="A9" s="23" t="s">
        <v>143</v>
      </c>
      <c r="B9" s="43" t="s">
        <v>144</v>
      </c>
      <c r="C9" s="36"/>
      <c r="D9" s="37"/>
      <c r="E9" s="33">
        <v>1.8</v>
      </c>
      <c r="F9" s="25">
        <f t="shared" si="0"/>
        <v>0</v>
      </c>
    </row>
    <row r="10" spans="1:6" x14ac:dyDescent="0.2">
      <c r="A10" s="23" t="s">
        <v>145</v>
      </c>
      <c r="B10" s="43" t="s">
        <v>146</v>
      </c>
      <c r="C10" s="36"/>
      <c r="D10" s="37"/>
      <c r="E10" s="33">
        <v>1.5</v>
      </c>
      <c r="F10" s="25">
        <f t="shared" si="0"/>
        <v>0</v>
      </c>
    </row>
    <row r="11" spans="1:6" x14ac:dyDescent="0.2">
      <c r="A11" s="23" t="s">
        <v>147</v>
      </c>
      <c r="B11" s="43" t="s">
        <v>148</v>
      </c>
      <c r="C11" s="36"/>
      <c r="D11" s="37"/>
      <c r="E11" s="33">
        <v>1.5</v>
      </c>
      <c r="F11" s="25">
        <f t="shared" si="0"/>
        <v>0</v>
      </c>
    </row>
    <row r="12" spans="1:6" x14ac:dyDescent="0.2">
      <c r="A12" s="23" t="s">
        <v>149</v>
      </c>
      <c r="B12" s="43" t="s">
        <v>150</v>
      </c>
      <c r="C12" s="36"/>
      <c r="D12" s="37"/>
      <c r="E12" s="33">
        <v>1.5</v>
      </c>
      <c r="F12" s="25">
        <f t="shared" si="0"/>
        <v>0</v>
      </c>
    </row>
    <row r="13" spans="1:6" x14ac:dyDescent="0.2">
      <c r="A13" s="23" t="s">
        <v>151</v>
      </c>
      <c r="B13" s="43" t="s">
        <v>152</v>
      </c>
      <c r="C13" s="36"/>
      <c r="D13" s="37"/>
      <c r="E13" s="33">
        <v>1.8</v>
      </c>
      <c r="F13" s="25">
        <f t="shared" si="0"/>
        <v>0</v>
      </c>
    </row>
    <row r="14" spans="1:6" x14ac:dyDescent="0.2">
      <c r="A14" s="23" t="s">
        <v>153</v>
      </c>
      <c r="B14" s="43" t="s">
        <v>154</v>
      </c>
      <c r="C14" s="36"/>
      <c r="D14" s="37"/>
      <c r="E14" s="33">
        <v>1.2</v>
      </c>
      <c r="F14" s="25">
        <f t="shared" si="0"/>
        <v>0</v>
      </c>
    </row>
    <row r="15" spans="1:6" x14ac:dyDescent="0.2">
      <c r="A15" s="23" t="s">
        <v>155</v>
      </c>
      <c r="B15" s="43" t="s">
        <v>156</v>
      </c>
      <c r="C15" s="36"/>
      <c r="D15" s="37"/>
      <c r="E15" s="33">
        <v>1.3</v>
      </c>
      <c r="F15" s="25">
        <f t="shared" si="0"/>
        <v>0</v>
      </c>
    </row>
    <row r="18" spans="1:6" x14ac:dyDescent="0.2">
      <c r="D18" s="15" t="s">
        <v>78</v>
      </c>
      <c r="E18" s="29">
        <f>SUM(F6:F15)</f>
        <v>0</v>
      </c>
      <c r="F18" s="38">
        <f>SUM(E6:E15)*3</f>
        <v>45.900000000000006</v>
      </c>
    </row>
    <row r="20" spans="1:6" ht="16" x14ac:dyDescent="0.2">
      <c r="A20" s="8" t="s">
        <v>157</v>
      </c>
      <c r="B20" s="8"/>
      <c r="C20" s="8"/>
      <c r="D20" s="8"/>
      <c r="E20" s="8"/>
      <c r="F20" s="8"/>
    </row>
    <row r="21" spans="1:6" ht="16" x14ac:dyDescent="0.2">
      <c r="A21" s="39" t="s">
        <v>158</v>
      </c>
      <c r="B21" s="39" t="s">
        <v>159</v>
      </c>
      <c r="C21" s="39" t="s">
        <v>160</v>
      </c>
      <c r="D21" s="39" t="s">
        <v>161</v>
      </c>
    </row>
    <row r="22" spans="1:6" x14ac:dyDescent="0.2">
      <c r="A22" s="23" t="s">
        <v>162</v>
      </c>
      <c r="B22" s="23" t="s">
        <v>163</v>
      </c>
      <c r="C22" s="23" t="s">
        <v>164</v>
      </c>
      <c r="D22" s="23" t="s">
        <v>165</v>
      </c>
    </row>
    <row r="23" spans="1:6" x14ac:dyDescent="0.2">
      <c r="A23" s="23" t="s">
        <v>166</v>
      </c>
      <c r="B23" s="23" t="s">
        <v>167</v>
      </c>
      <c r="C23" s="23" t="s">
        <v>168</v>
      </c>
      <c r="D23" s="23" t="s">
        <v>169</v>
      </c>
    </row>
    <row r="24" spans="1:6" x14ac:dyDescent="0.2">
      <c r="A24" s="23" t="s">
        <v>170</v>
      </c>
      <c r="B24" s="23" t="s">
        <v>171</v>
      </c>
      <c r="C24" s="23" t="s">
        <v>172</v>
      </c>
      <c r="D24" s="23" t="s">
        <v>173</v>
      </c>
    </row>
    <row r="25" spans="1:6" x14ac:dyDescent="0.2">
      <c r="A25" s="23" t="s">
        <v>174</v>
      </c>
      <c r="B25" s="23" t="s">
        <v>175</v>
      </c>
      <c r="C25" s="23" t="s">
        <v>176</v>
      </c>
      <c r="D25" s="23" t="s">
        <v>177</v>
      </c>
    </row>
    <row r="26" spans="1:6" x14ac:dyDescent="0.2">
      <c r="A26" s="23" t="s">
        <v>178</v>
      </c>
      <c r="B26" s="23" t="s">
        <v>179</v>
      </c>
      <c r="C26" s="23" t="s">
        <v>180</v>
      </c>
      <c r="D26" s="23" t="s">
        <v>181</v>
      </c>
    </row>
  </sheetData>
  <mergeCells count="4">
    <mergeCell ref="A1:F1"/>
    <mergeCell ref="A2:F2"/>
    <mergeCell ref="A3:F3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zoomScaleNormal="100" workbookViewId="0"/>
  </sheetViews>
  <sheetFormatPr baseColWidth="10" defaultColWidth="8.6640625" defaultRowHeight="15" x14ac:dyDescent="0.2"/>
  <cols>
    <col min="1" max="1" width="22" customWidth="1"/>
    <col min="2" max="2" width="16" customWidth="1"/>
    <col min="3" max="3" width="30" customWidth="1"/>
    <col min="4" max="4" width="28" customWidth="1"/>
    <col min="5" max="9" width="16" customWidth="1"/>
  </cols>
  <sheetData>
    <row r="1" spans="1:9" ht="21" x14ac:dyDescent="0.25">
      <c r="A1" s="7" t="s">
        <v>182</v>
      </c>
      <c r="B1" s="7"/>
      <c r="C1" s="7"/>
      <c r="D1" s="7"/>
      <c r="E1" s="7"/>
      <c r="F1" s="7"/>
      <c r="G1" s="7"/>
      <c r="H1" s="7"/>
      <c r="I1" s="7"/>
    </row>
    <row r="2" spans="1:9" x14ac:dyDescent="0.2">
      <c r="A2" s="6" t="s">
        <v>183</v>
      </c>
      <c r="B2" s="6"/>
      <c r="C2" s="6"/>
      <c r="D2" s="6"/>
      <c r="E2" s="6"/>
      <c r="F2" s="6"/>
      <c r="G2" s="6"/>
      <c r="H2" s="6"/>
      <c r="I2" s="6"/>
    </row>
    <row r="3" spans="1:9" x14ac:dyDescent="0.2">
      <c r="A3" s="5" t="s">
        <v>184</v>
      </c>
      <c r="B3" s="5"/>
      <c r="C3" s="5"/>
      <c r="D3" s="5"/>
      <c r="E3" s="5"/>
      <c r="F3" s="5"/>
      <c r="G3" s="5"/>
      <c r="H3" s="5"/>
      <c r="I3" s="5"/>
    </row>
    <row r="5" spans="1:9" ht="34" x14ac:dyDescent="0.2">
      <c r="A5" s="34" t="s">
        <v>103</v>
      </c>
      <c r="B5" s="34" t="s">
        <v>185</v>
      </c>
      <c r="C5" s="34" t="s">
        <v>186</v>
      </c>
      <c r="D5" s="34" t="s">
        <v>187</v>
      </c>
      <c r="E5" s="34" t="s">
        <v>188</v>
      </c>
      <c r="F5" s="34" t="s">
        <v>189</v>
      </c>
      <c r="G5" s="34" t="s">
        <v>40</v>
      </c>
      <c r="H5" s="34" t="s">
        <v>21</v>
      </c>
      <c r="I5" s="34" t="s">
        <v>63</v>
      </c>
    </row>
    <row r="6" spans="1:9" x14ac:dyDescent="0.2">
      <c r="A6" s="23" t="s">
        <v>190</v>
      </c>
      <c r="B6" s="44" t="s">
        <v>17</v>
      </c>
      <c r="C6" s="37"/>
      <c r="D6" s="37"/>
      <c r="E6" s="37"/>
      <c r="F6" s="41" t="str">
        <f t="shared" ref="F6:F15" si="0">IF(C6&gt;3,"BUILD","BUY")</f>
        <v>BUY</v>
      </c>
      <c r="G6" s="41" t="str">
        <f t="shared" ref="G6:G15" si="1">IF(AND(C6&gt;3,D6&gt;3),"STRATEGIC",IF(C6&gt;3,"TACTICAL","BUY"))</f>
        <v>BUY</v>
      </c>
      <c r="H6" s="41">
        <f t="shared" ref="H6:H15" si="2">IF(G6="STRATEGIC",3,IF(G6="TACTICAL",2,1))</f>
        <v>1</v>
      </c>
      <c r="I6" s="33">
        <v>1.2</v>
      </c>
    </row>
    <row r="7" spans="1:9" x14ac:dyDescent="0.2">
      <c r="A7" s="23" t="s">
        <v>191</v>
      </c>
      <c r="B7" s="44" t="s">
        <v>17</v>
      </c>
      <c r="C7" s="37"/>
      <c r="D7" s="37"/>
      <c r="E7" s="37"/>
      <c r="F7" s="41" t="str">
        <f t="shared" si="0"/>
        <v>BUY</v>
      </c>
      <c r="G7" s="41" t="str">
        <f t="shared" si="1"/>
        <v>BUY</v>
      </c>
      <c r="H7" s="41">
        <f t="shared" si="2"/>
        <v>1</v>
      </c>
      <c r="I7" s="33">
        <v>1</v>
      </c>
    </row>
    <row r="8" spans="1:9" x14ac:dyDescent="0.2">
      <c r="A8" s="23" t="s">
        <v>192</v>
      </c>
      <c r="B8" s="44" t="s">
        <v>17</v>
      </c>
      <c r="C8" s="37"/>
      <c r="D8" s="37"/>
      <c r="E8" s="37"/>
      <c r="F8" s="41" t="str">
        <f t="shared" si="0"/>
        <v>BUY</v>
      </c>
      <c r="G8" s="41" t="str">
        <f t="shared" si="1"/>
        <v>BUY</v>
      </c>
      <c r="H8" s="41">
        <f t="shared" si="2"/>
        <v>1</v>
      </c>
      <c r="I8" s="33">
        <v>1.2</v>
      </c>
    </row>
    <row r="9" spans="1:9" x14ac:dyDescent="0.2">
      <c r="A9" s="23" t="s">
        <v>193</v>
      </c>
      <c r="B9" s="44" t="s">
        <v>17</v>
      </c>
      <c r="C9" s="37"/>
      <c r="D9" s="37"/>
      <c r="E9" s="37"/>
      <c r="F9" s="41" t="str">
        <f t="shared" si="0"/>
        <v>BUY</v>
      </c>
      <c r="G9" s="41" t="str">
        <f t="shared" si="1"/>
        <v>BUY</v>
      </c>
      <c r="H9" s="41">
        <f t="shared" si="2"/>
        <v>1</v>
      </c>
      <c r="I9" s="33">
        <v>1</v>
      </c>
    </row>
    <row r="10" spans="1:9" x14ac:dyDescent="0.2">
      <c r="A10" s="23" t="s">
        <v>194</v>
      </c>
      <c r="B10" s="45" t="s">
        <v>16</v>
      </c>
      <c r="C10" s="37"/>
      <c r="D10" s="37"/>
      <c r="E10" s="37"/>
      <c r="F10" s="41" t="str">
        <f t="shared" si="0"/>
        <v>BUY</v>
      </c>
      <c r="G10" s="41" t="str">
        <f t="shared" si="1"/>
        <v>BUY</v>
      </c>
      <c r="H10" s="41">
        <f t="shared" si="2"/>
        <v>1</v>
      </c>
      <c r="I10" s="33">
        <v>1</v>
      </c>
    </row>
    <row r="11" spans="1:9" x14ac:dyDescent="0.2">
      <c r="A11" s="23" t="s">
        <v>195</v>
      </c>
      <c r="B11" s="45" t="s">
        <v>16</v>
      </c>
      <c r="C11" s="37"/>
      <c r="D11" s="37"/>
      <c r="E11" s="37"/>
      <c r="F11" s="41" t="str">
        <f t="shared" si="0"/>
        <v>BUY</v>
      </c>
      <c r="G11" s="41" t="str">
        <f t="shared" si="1"/>
        <v>BUY</v>
      </c>
      <c r="H11" s="41">
        <f t="shared" si="2"/>
        <v>1</v>
      </c>
      <c r="I11" s="33">
        <v>1.2</v>
      </c>
    </row>
    <row r="12" spans="1:9" x14ac:dyDescent="0.2">
      <c r="A12" s="23" t="s">
        <v>196</v>
      </c>
      <c r="B12" s="46" t="s">
        <v>13</v>
      </c>
      <c r="C12" s="37"/>
      <c r="D12" s="37"/>
      <c r="E12" s="37"/>
      <c r="F12" s="41" t="str">
        <f t="shared" si="0"/>
        <v>BUY</v>
      </c>
      <c r="G12" s="41" t="str">
        <f t="shared" si="1"/>
        <v>BUY</v>
      </c>
      <c r="H12" s="41">
        <f t="shared" si="2"/>
        <v>1</v>
      </c>
      <c r="I12" s="33">
        <v>1.8</v>
      </c>
    </row>
    <row r="13" spans="1:9" x14ac:dyDescent="0.2">
      <c r="A13" s="23" t="s">
        <v>197</v>
      </c>
      <c r="B13" s="46" t="s">
        <v>13</v>
      </c>
      <c r="C13" s="37"/>
      <c r="D13" s="37"/>
      <c r="E13" s="37"/>
      <c r="F13" s="41" t="str">
        <f t="shared" si="0"/>
        <v>BUY</v>
      </c>
      <c r="G13" s="41" t="str">
        <f t="shared" si="1"/>
        <v>BUY</v>
      </c>
      <c r="H13" s="41">
        <f t="shared" si="2"/>
        <v>1</v>
      </c>
      <c r="I13" s="33">
        <v>1.5</v>
      </c>
    </row>
    <row r="14" spans="1:9" x14ac:dyDescent="0.2">
      <c r="A14" s="23" t="s">
        <v>198</v>
      </c>
      <c r="B14" s="47" t="s">
        <v>10</v>
      </c>
      <c r="C14" s="37"/>
      <c r="D14" s="37"/>
      <c r="E14" s="37"/>
      <c r="F14" s="41" t="str">
        <f t="shared" si="0"/>
        <v>BUY</v>
      </c>
      <c r="G14" s="41" t="str">
        <f t="shared" si="1"/>
        <v>BUY</v>
      </c>
      <c r="H14" s="41">
        <f t="shared" si="2"/>
        <v>1</v>
      </c>
      <c r="I14" s="33">
        <v>2</v>
      </c>
    </row>
    <row r="15" spans="1:9" x14ac:dyDescent="0.2">
      <c r="A15" s="23" t="s">
        <v>199</v>
      </c>
      <c r="B15" s="47" t="s">
        <v>10</v>
      </c>
      <c r="C15" s="37"/>
      <c r="D15" s="37"/>
      <c r="E15" s="37"/>
      <c r="F15" s="41" t="str">
        <f t="shared" si="0"/>
        <v>BUY</v>
      </c>
      <c r="G15" s="41" t="str">
        <f t="shared" si="1"/>
        <v>BUY</v>
      </c>
      <c r="H15" s="41">
        <f t="shared" si="2"/>
        <v>1</v>
      </c>
      <c r="I15" s="33">
        <v>1.8</v>
      </c>
    </row>
    <row r="17" spans="1:9" x14ac:dyDescent="0.2">
      <c r="G17" s="15" t="s">
        <v>78</v>
      </c>
      <c r="H17" s="29">
        <f>SUMPRODUCT(H6:H15,I6:I15)</f>
        <v>13.700000000000001</v>
      </c>
      <c r="I17" s="38">
        <f>SUM(I6:I15)*3</f>
        <v>41.1</v>
      </c>
    </row>
    <row r="19" spans="1:9" ht="16" x14ac:dyDescent="0.2">
      <c r="A19" s="8" t="s">
        <v>200</v>
      </c>
      <c r="B19" s="8"/>
      <c r="C19" s="8"/>
      <c r="D19" s="8"/>
      <c r="E19" s="8"/>
      <c r="F19" s="8"/>
      <c r="G19" s="8"/>
      <c r="H19" s="8"/>
      <c r="I19" s="8"/>
    </row>
    <row r="20" spans="1:9" ht="16" x14ac:dyDescent="0.2">
      <c r="A20" s="39" t="s">
        <v>7</v>
      </c>
      <c r="B20" s="39" t="s">
        <v>201</v>
      </c>
      <c r="C20" s="39" t="s">
        <v>202</v>
      </c>
      <c r="D20" s="39" t="s">
        <v>203</v>
      </c>
    </row>
    <row r="21" spans="1:9" x14ac:dyDescent="0.2">
      <c r="A21" s="48" t="s">
        <v>17</v>
      </c>
      <c r="B21" s="23" t="s">
        <v>204</v>
      </c>
      <c r="C21" s="23" t="s">
        <v>205</v>
      </c>
      <c r="D21" s="23" t="s">
        <v>206</v>
      </c>
    </row>
    <row r="22" spans="1:9" x14ac:dyDescent="0.2">
      <c r="A22" s="49" t="s">
        <v>16</v>
      </c>
      <c r="B22" s="23" t="s">
        <v>207</v>
      </c>
      <c r="C22" s="23" t="s">
        <v>208</v>
      </c>
      <c r="D22" s="23" t="s">
        <v>209</v>
      </c>
    </row>
    <row r="23" spans="1:9" x14ac:dyDescent="0.2">
      <c r="A23" s="50" t="s">
        <v>13</v>
      </c>
      <c r="B23" s="23" t="s">
        <v>210</v>
      </c>
      <c r="C23" s="23" t="s">
        <v>211</v>
      </c>
      <c r="D23" s="23" t="s">
        <v>212</v>
      </c>
    </row>
    <row r="24" spans="1:9" x14ac:dyDescent="0.2">
      <c r="A24" s="51" t="s">
        <v>10</v>
      </c>
      <c r="B24" s="23" t="s">
        <v>213</v>
      </c>
      <c r="C24" s="23" t="s">
        <v>214</v>
      </c>
      <c r="D24" s="23" t="s">
        <v>215</v>
      </c>
    </row>
  </sheetData>
  <mergeCells count="4">
    <mergeCell ref="A1:I1"/>
    <mergeCell ref="A2:I2"/>
    <mergeCell ref="A3:I3"/>
    <mergeCell ref="A19:I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zoomScaleNormal="100" workbookViewId="0"/>
  </sheetViews>
  <sheetFormatPr baseColWidth="10" defaultColWidth="8.6640625" defaultRowHeight="15" x14ac:dyDescent="0.2"/>
  <cols>
    <col min="1" max="1" width="35" customWidth="1"/>
    <col min="2" max="2" width="25" customWidth="1"/>
    <col min="3" max="3" width="18" customWidth="1"/>
    <col min="4" max="4" width="12" customWidth="1"/>
    <col min="5" max="5" width="10" customWidth="1"/>
    <col min="6" max="6" width="15" customWidth="1"/>
  </cols>
  <sheetData>
    <row r="1" spans="1:6" ht="21" x14ac:dyDescent="0.25">
      <c r="A1" s="7" t="s">
        <v>216</v>
      </c>
      <c r="B1" s="7"/>
      <c r="C1" s="7"/>
      <c r="D1" s="7"/>
      <c r="E1" s="7"/>
      <c r="F1" s="7"/>
    </row>
    <row r="2" spans="1:6" x14ac:dyDescent="0.2">
      <c r="A2" s="6" t="s">
        <v>217</v>
      </c>
      <c r="B2" s="6"/>
      <c r="C2" s="6"/>
      <c r="D2" s="6"/>
      <c r="E2" s="6"/>
      <c r="F2" s="6"/>
    </row>
    <row r="4" spans="1:6" ht="34" x14ac:dyDescent="0.2">
      <c r="A4" s="34" t="s">
        <v>218</v>
      </c>
      <c r="B4" s="34" t="s">
        <v>219</v>
      </c>
      <c r="C4" s="34" t="s">
        <v>61</v>
      </c>
      <c r="D4" s="34" t="s">
        <v>62</v>
      </c>
      <c r="E4" s="34" t="s">
        <v>63</v>
      </c>
      <c r="F4" s="34" t="s">
        <v>64</v>
      </c>
    </row>
    <row r="5" spans="1:6" x14ac:dyDescent="0.2">
      <c r="A5" s="23" t="s">
        <v>220</v>
      </c>
      <c r="B5" s="43" t="s">
        <v>221</v>
      </c>
      <c r="C5" s="36"/>
      <c r="D5" s="37"/>
      <c r="E5" s="33">
        <v>1.5</v>
      </c>
      <c r="F5" s="25">
        <f t="shared" ref="F5:F14" si="0">IF(D5="",0,D5*E5)</f>
        <v>0</v>
      </c>
    </row>
    <row r="6" spans="1:6" x14ac:dyDescent="0.2">
      <c r="A6" s="23" t="s">
        <v>222</v>
      </c>
      <c r="B6" s="43" t="s">
        <v>223</v>
      </c>
      <c r="C6" s="36"/>
      <c r="D6" s="37"/>
      <c r="E6" s="33">
        <v>1.5</v>
      </c>
      <c r="F6" s="25">
        <f t="shared" si="0"/>
        <v>0</v>
      </c>
    </row>
    <row r="7" spans="1:6" x14ac:dyDescent="0.2">
      <c r="A7" s="23" t="s">
        <v>224</v>
      </c>
      <c r="B7" s="43" t="s">
        <v>225</v>
      </c>
      <c r="C7" s="36"/>
      <c r="D7" s="37"/>
      <c r="E7" s="33">
        <v>1.5</v>
      </c>
      <c r="F7" s="25">
        <f t="shared" si="0"/>
        <v>0</v>
      </c>
    </row>
    <row r="8" spans="1:6" x14ac:dyDescent="0.2">
      <c r="A8" s="23" t="s">
        <v>226</v>
      </c>
      <c r="B8" s="43" t="s">
        <v>227</v>
      </c>
      <c r="C8" s="36"/>
      <c r="D8" s="37"/>
      <c r="E8" s="33">
        <v>1.2</v>
      </c>
      <c r="F8" s="25">
        <f t="shared" si="0"/>
        <v>0</v>
      </c>
    </row>
    <row r="9" spans="1:6" x14ac:dyDescent="0.2">
      <c r="A9" s="23" t="s">
        <v>228</v>
      </c>
      <c r="B9" s="43" t="s">
        <v>229</v>
      </c>
      <c r="C9" s="36"/>
      <c r="D9" s="37"/>
      <c r="E9" s="33">
        <v>1.5</v>
      </c>
      <c r="F9" s="25">
        <f t="shared" si="0"/>
        <v>0</v>
      </c>
    </row>
    <row r="10" spans="1:6" x14ac:dyDescent="0.2">
      <c r="A10" s="23" t="s">
        <v>230</v>
      </c>
      <c r="B10" s="43" t="s">
        <v>231</v>
      </c>
      <c r="C10" s="36"/>
      <c r="D10" s="37"/>
      <c r="E10" s="33">
        <v>1.3</v>
      </c>
      <c r="F10" s="25">
        <f t="shared" si="0"/>
        <v>0</v>
      </c>
    </row>
    <row r="11" spans="1:6" x14ac:dyDescent="0.2">
      <c r="A11" s="23" t="s">
        <v>232</v>
      </c>
      <c r="B11" s="43" t="s">
        <v>233</v>
      </c>
      <c r="C11" s="36"/>
      <c r="D11" s="37"/>
      <c r="E11" s="33">
        <v>1.5</v>
      </c>
      <c r="F11" s="25">
        <f t="shared" si="0"/>
        <v>0</v>
      </c>
    </row>
    <row r="12" spans="1:6" x14ac:dyDescent="0.2">
      <c r="A12" s="23" t="s">
        <v>234</v>
      </c>
      <c r="B12" s="43" t="s">
        <v>235</v>
      </c>
      <c r="C12" s="36"/>
      <c r="D12" s="37"/>
      <c r="E12" s="33">
        <v>1</v>
      </c>
      <c r="F12" s="25">
        <f t="shared" si="0"/>
        <v>0</v>
      </c>
    </row>
    <row r="13" spans="1:6" x14ac:dyDescent="0.2">
      <c r="A13" s="23" t="s">
        <v>236</v>
      </c>
      <c r="B13" s="43" t="s">
        <v>237</v>
      </c>
      <c r="C13" s="36"/>
      <c r="D13" s="37"/>
      <c r="E13" s="33">
        <v>1</v>
      </c>
      <c r="F13" s="25">
        <f t="shared" si="0"/>
        <v>0</v>
      </c>
    </row>
    <row r="14" spans="1:6" x14ac:dyDescent="0.2">
      <c r="A14" s="23" t="s">
        <v>238</v>
      </c>
      <c r="B14" s="43" t="s">
        <v>239</v>
      </c>
      <c r="C14" s="36"/>
      <c r="D14" s="37"/>
      <c r="E14" s="33">
        <v>1.2</v>
      </c>
      <c r="F14" s="25">
        <f t="shared" si="0"/>
        <v>0</v>
      </c>
    </row>
    <row r="16" spans="1:6" x14ac:dyDescent="0.2">
      <c r="D16" s="15" t="s">
        <v>78</v>
      </c>
      <c r="E16" s="29">
        <f>SUM(F5:F14)</f>
        <v>0</v>
      </c>
      <c r="F16" s="38">
        <f>SUM(E5:E14)*3</f>
        <v>39.599999999999994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zoomScaleNormal="100" workbookViewId="0">
      <selection sqref="A1:H1"/>
    </sheetView>
  </sheetViews>
  <sheetFormatPr baseColWidth="10" defaultColWidth="8.6640625" defaultRowHeight="15" x14ac:dyDescent="0.2"/>
  <cols>
    <col min="1" max="1" width="18" customWidth="1"/>
    <col min="2" max="2" width="10" customWidth="1"/>
    <col min="3" max="3" width="40" customWidth="1"/>
    <col min="4" max="4" width="12" customWidth="1"/>
    <col min="6" max="6" width="18" customWidth="1"/>
    <col min="7" max="7" width="25" customWidth="1"/>
    <col min="8" max="8" width="18" customWidth="1"/>
  </cols>
  <sheetData>
    <row r="1" spans="1:8" ht="21" x14ac:dyDescent="0.25">
      <c r="A1" s="7" t="s">
        <v>240</v>
      </c>
      <c r="B1" s="7"/>
      <c r="C1" s="7"/>
      <c r="D1" s="7"/>
      <c r="E1" s="7"/>
      <c r="F1" s="7"/>
      <c r="G1" s="7"/>
      <c r="H1" s="7"/>
    </row>
    <row r="2" spans="1:8" x14ac:dyDescent="0.2">
      <c r="A2" s="6" t="s">
        <v>241</v>
      </c>
      <c r="B2" s="6"/>
      <c r="C2" s="6"/>
      <c r="D2" s="6"/>
      <c r="E2" s="6"/>
      <c r="F2" s="6"/>
      <c r="G2" s="6"/>
      <c r="H2" s="6"/>
    </row>
    <row r="4" spans="1:8" ht="18" x14ac:dyDescent="0.2">
      <c r="A4" s="15" t="s">
        <v>242</v>
      </c>
      <c r="B4" s="58" t="str">
        <f>'DDPE Dashboard'!B22</f>
        <v>TACTICAL</v>
      </c>
      <c r="C4" s="58"/>
    </row>
    <row r="5" spans="1:8" ht="16" x14ac:dyDescent="0.2">
      <c r="A5" s="15" t="s">
        <v>38</v>
      </c>
      <c r="B5" s="9" t="str">
        <f>'DDPE Dashboard'!B23</f>
        <v>Foundational Services</v>
      </c>
      <c r="C5" s="9"/>
      <c r="D5" s="9"/>
    </row>
    <row r="7" spans="1:8" ht="18" x14ac:dyDescent="0.2">
      <c r="A7" s="59" t="s">
        <v>243</v>
      </c>
      <c r="B7" s="59"/>
      <c r="C7" s="59"/>
      <c r="D7" s="59"/>
      <c r="F7" s="11" t="s">
        <v>244</v>
      </c>
      <c r="G7" s="11"/>
      <c r="H7" s="11"/>
    </row>
    <row r="8" spans="1:8" ht="16" x14ac:dyDescent="0.2">
      <c r="A8" s="39" t="s">
        <v>7</v>
      </c>
      <c r="B8" s="39" t="s">
        <v>107</v>
      </c>
      <c r="C8" s="39" t="s">
        <v>245</v>
      </c>
      <c r="D8" s="39" t="s">
        <v>246</v>
      </c>
      <c r="F8" s="39" t="s">
        <v>7</v>
      </c>
      <c r="G8" s="39" t="s">
        <v>247</v>
      </c>
      <c r="H8" s="39" t="s">
        <v>248</v>
      </c>
    </row>
    <row r="9" spans="1:8" x14ac:dyDescent="0.2">
      <c r="A9" s="52" t="s">
        <v>17</v>
      </c>
      <c r="B9" s="23" t="s">
        <v>87</v>
      </c>
      <c r="C9" s="23" t="s">
        <v>249</v>
      </c>
      <c r="D9" s="23" t="s">
        <v>250</v>
      </c>
      <c r="F9" s="52" t="s">
        <v>17</v>
      </c>
      <c r="G9" s="23" t="s">
        <v>251</v>
      </c>
      <c r="H9" s="23" t="s">
        <v>252</v>
      </c>
    </row>
    <row r="10" spans="1:8" x14ac:dyDescent="0.2">
      <c r="A10" s="52" t="s">
        <v>17</v>
      </c>
      <c r="B10" s="23" t="s">
        <v>91</v>
      </c>
      <c r="C10" s="23" t="s">
        <v>253</v>
      </c>
      <c r="D10" s="23" t="s">
        <v>250</v>
      </c>
      <c r="F10" s="52" t="s">
        <v>17</v>
      </c>
      <c r="G10" s="23" t="s">
        <v>254</v>
      </c>
      <c r="H10" s="23" t="s">
        <v>179</v>
      </c>
    </row>
    <row r="11" spans="1:8" x14ac:dyDescent="0.2">
      <c r="A11" s="52" t="s">
        <v>17</v>
      </c>
      <c r="B11" s="23" t="s">
        <v>95</v>
      </c>
      <c r="C11" s="23" t="s">
        <v>255</v>
      </c>
      <c r="D11" s="23" t="s">
        <v>256</v>
      </c>
      <c r="F11" s="53" t="s">
        <v>16</v>
      </c>
      <c r="G11" s="23" t="s">
        <v>257</v>
      </c>
      <c r="H11" s="23" t="s">
        <v>258</v>
      </c>
    </row>
    <row r="12" spans="1:8" x14ac:dyDescent="0.2">
      <c r="A12" s="53" t="s">
        <v>16</v>
      </c>
      <c r="B12" s="23" t="s">
        <v>259</v>
      </c>
      <c r="C12" s="23" t="s">
        <v>260</v>
      </c>
      <c r="D12" s="23" t="s">
        <v>261</v>
      </c>
      <c r="F12" s="53" t="s">
        <v>16</v>
      </c>
      <c r="G12" s="23" t="s">
        <v>262</v>
      </c>
      <c r="H12" s="23" t="s">
        <v>263</v>
      </c>
    </row>
    <row r="13" spans="1:8" x14ac:dyDescent="0.2">
      <c r="A13" s="54" t="s">
        <v>13</v>
      </c>
      <c r="B13" s="23" t="s">
        <v>264</v>
      </c>
      <c r="C13" s="23" t="s">
        <v>265</v>
      </c>
      <c r="D13" s="23" t="s">
        <v>266</v>
      </c>
      <c r="F13" s="54" t="s">
        <v>13</v>
      </c>
      <c r="G13" s="23" t="s">
        <v>267</v>
      </c>
      <c r="H13" s="23" t="s">
        <v>268</v>
      </c>
    </row>
    <row r="14" spans="1:8" x14ac:dyDescent="0.2">
      <c r="A14" s="55" t="s">
        <v>10</v>
      </c>
      <c r="B14" s="23" t="s">
        <v>269</v>
      </c>
      <c r="C14" s="23" t="s">
        <v>270</v>
      </c>
      <c r="D14" s="23" t="s">
        <v>271</v>
      </c>
      <c r="F14" s="54" t="s">
        <v>13</v>
      </c>
      <c r="G14" s="23" t="s">
        <v>272</v>
      </c>
      <c r="H14" s="23" t="s">
        <v>273</v>
      </c>
    </row>
    <row r="15" spans="1:8" x14ac:dyDescent="0.2">
      <c r="A15" s="23" t="s">
        <v>66</v>
      </c>
      <c r="B15" s="23" t="s">
        <v>274</v>
      </c>
      <c r="C15" s="23" t="s">
        <v>275</v>
      </c>
      <c r="D15" s="23" t="s">
        <v>271</v>
      </c>
      <c r="F15" s="55" t="s">
        <v>10</v>
      </c>
      <c r="G15" s="23" t="s">
        <v>276</v>
      </c>
      <c r="H15" s="23" t="s">
        <v>277</v>
      </c>
    </row>
    <row r="16" spans="1:8" x14ac:dyDescent="0.2">
      <c r="A16" s="23" t="s">
        <v>66</v>
      </c>
      <c r="B16" s="23" t="s">
        <v>278</v>
      </c>
      <c r="C16" s="23" t="s">
        <v>279</v>
      </c>
      <c r="D16" s="23" t="s">
        <v>266</v>
      </c>
      <c r="F16" s="55" t="s">
        <v>10</v>
      </c>
      <c r="G16" s="23" t="s">
        <v>280</v>
      </c>
      <c r="H16" s="23" t="s">
        <v>281</v>
      </c>
    </row>
    <row r="17" spans="1:8" x14ac:dyDescent="0.2">
      <c r="F17" s="23" t="s">
        <v>66</v>
      </c>
      <c r="G17" s="23" t="s">
        <v>282</v>
      </c>
      <c r="H17" s="23" t="s">
        <v>273</v>
      </c>
    </row>
    <row r="18" spans="1:8" x14ac:dyDescent="0.2">
      <c r="F18" s="23" t="s">
        <v>66</v>
      </c>
      <c r="G18" s="23" t="s">
        <v>283</v>
      </c>
      <c r="H18" s="23" t="s">
        <v>284</v>
      </c>
    </row>
    <row r="19" spans="1:8" ht="18" x14ac:dyDescent="0.2">
      <c r="A19" s="60" t="s">
        <v>285</v>
      </c>
      <c r="B19" s="60"/>
      <c r="C19" s="60"/>
      <c r="D19" s="60"/>
    </row>
    <row r="20" spans="1:8" ht="16" x14ac:dyDescent="0.2">
      <c r="A20" s="39" t="s">
        <v>7</v>
      </c>
      <c r="B20" s="39" t="s">
        <v>107</v>
      </c>
      <c r="C20" s="39" t="s">
        <v>245</v>
      </c>
      <c r="D20" s="39" t="s">
        <v>246</v>
      </c>
    </row>
    <row r="21" spans="1:8" x14ac:dyDescent="0.2">
      <c r="A21" s="52" t="s">
        <v>17</v>
      </c>
      <c r="B21" s="23" t="s">
        <v>87</v>
      </c>
      <c r="C21" s="23" t="s">
        <v>286</v>
      </c>
      <c r="D21" s="23" t="s">
        <v>287</v>
      </c>
    </row>
    <row r="22" spans="1:8" x14ac:dyDescent="0.2">
      <c r="A22" s="52" t="s">
        <v>17</v>
      </c>
      <c r="B22" s="23" t="s">
        <v>91</v>
      </c>
      <c r="C22" s="23" t="s">
        <v>288</v>
      </c>
      <c r="D22" s="23" t="s">
        <v>289</v>
      </c>
    </row>
    <row r="23" spans="1:8" x14ac:dyDescent="0.2">
      <c r="A23" s="52" t="s">
        <v>17</v>
      </c>
      <c r="B23" s="23" t="s">
        <v>95</v>
      </c>
      <c r="C23" s="23" t="s">
        <v>290</v>
      </c>
      <c r="D23" s="23" t="s">
        <v>291</v>
      </c>
    </row>
    <row r="24" spans="1:8" x14ac:dyDescent="0.2">
      <c r="A24" s="53" t="s">
        <v>16</v>
      </c>
      <c r="B24" s="23" t="s">
        <v>259</v>
      </c>
      <c r="C24" s="23" t="s">
        <v>292</v>
      </c>
      <c r="D24" s="23" t="s">
        <v>293</v>
      </c>
    </row>
    <row r="25" spans="1:8" x14ac:dyDescent="0.2">
      <c r="A25" s="53" t="s">
        <v>16</v>
      </c>
      <c r="B25" s="23" t="s">
        <v>264</v>
      </c>
      <c r="C25" s="23" t="s">
        <v>294</v>
      </c>
      <c r="D25" s="23" t="s">
        <v>295</v>
      </c>
    </row>
    <row r="26" spans="1:8" x14ac:dyDescent="0.2">
      <c r="A26" s="54" t="s">
        <v>13</v>
      </c>
      <c r="B26" s="23" t="s">
        <v>269</v>
      </c>
      <c r="C26" s="23" t="s">
        <v>296</v>
      </c>
      <c r="D26" s="23" t="s">
        <v>297</v>
      </c>
    </row>
    <row r="27" spans="1:8" x14ac:dyDescent="0.2">
      <c r="A27" s="54" t="s">
        <v>13</v>
      </c>
      <c r="B27" s="23" t="s">
        <v>274</v>
      </c>
      <c r="C27" s="23" t="s">
        <v>298</v>
      </c>
      <c r="D27" s="23" t="s">
        <v>299</v>
      </c>
    </row>
    <row r="28" spans="1:8" x14ac:dyDescent="0.2">
      <c r="A28" s="55" t="s">
        <v>10</v>
      </c>
      <c r="B28" s="23" t="s">
        <v>278</v>
      </c>
      <c r="C28" s="23" t="s">
        <v>300</v>
      </c>
      <c r="D28" s="23" t="s">
        <v>293</v>
      </c>
    </row>
    <row r="29" spans="1:8" x14ac:dyDescent="0.2">
      <c r="A29" s="55" t="s">
        <v>10</v>
      </c>
      <c r="B29" s="23" t="s">
        <v>301</v>
      </c>
      <c r="C29" s="23" t="s">
        <v>302</v>
      </c>
      <c r="D29" s="23" t="s">
        <v>299</v>
      </c>
    </row>
    <row r="30" spans="1:8" x14ac:dyDescent="0.2">
      <c r="A30" s="23" t="s">
        <v>66</v>
      </c>
      <c r="B30" s="23" t="s">
        <v>303</v>
      </c>
      <c r="C30" s="23" t="s">
        <v>304</v>
      </c>
      <c r="D30" s="23" t="s">
        <v>256</v>
      </c>
    </row>
    <row r="31" spans="1:8" x14ac:dyDescent="0.2">
      <c r="A31" s="23" t="s">
        <v>66</v>
      </c>
      <c r="B31" s="23" t="s">
        <v>305</v>
      </c>
      <c r="C31" s="23" t="s">
        <v>306</v>
      </c>
      <c r="D31" s="23" t="s">
        <v>271</v>
      </c>
    </row>
  </sheetData>
  <mergeCells count="7">
    <mergeCell ref="A19:D19"/>
    <mergeCell ref="A1:H1"/>
    <mergeCell ref="A2:H2"/>
    <mergeCell ref="B4:C4"/>
    <mergeCell ref="B5:D5"/>
    <mergeCell ref="A7:D7"/>
    <mergeCell ref="F7:H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DDPE Dashboard</vt:lpstr>
      <vt:lpstr>Bounded Contexts</vt:lpstr>
      <vt:lpstr>Layer Taxonomy</vt:lpstr>
      <vt:lpstr>Cognitive Load</vt:lpstr>
      <vt:lpstr>Build vs Buy</vt:lpstr>
      <vt:lpstr>Strategic Signals</vt:lpstr>
      <vt:lpstr>DDPE Action Plan</vt:lpstr>
    </vt:vector>
  </TitlesOfParts>
  <Manager/>
  <Company>Platformetrics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DDPE Assessment Model</dc:title>
  <dc:subject/>
  <dc:creator>Ajay Chankramath</dc:creator>
  <cp:keywords/>
  <dc:description/>
  <cp:lastModifiedBy>Ajay Chankramath</cp:lastModifiedBy>
  <cp:revision>0</cp:revision>
  <dcterms:created xsi:type="dcterms:W3CDTF">2025-12-28T01:29:59Z</dcterms:created>
  <dcterms:modified xsi:type="dcterms:W3CDTF">2025-12-28T01:35:18Z</dcterms:modified>
  <cp:category/>
  <dc:language>en-US</dc:language>
</cp:coreProperties>
</file>