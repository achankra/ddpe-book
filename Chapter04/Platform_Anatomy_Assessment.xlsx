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jay/Documents/ddpe/Chapter04/"/>
    </mc:Choice>
  </mc:AlternateContent>
  <xr:revisionPtr revIDLastSave="0" documentId="8_{3D7F3352-A329-CD47-B767-AB6301A9F352}" xr6:coauthVersionLast="47" xr6:coauthVersionMax="47" xr10:uidLastSave="{00000000-0000-0000-0000-000000000000}"/>
  <bookViews>
    <workbookView xWindow="19480" yWindow="500" windowWidth="31720" windowHeight="27220" activeTab="2" xr2:uid="{00000000-000D-0000-FFFF-FFFF00000000}"/>
  </bookViews>
  <sheets>
    <sheet name="Platform Anatomy Dashboard" sheetId="1" r:id="rId1"/>
    <sheet name="Extension Layer" sheetId="2" r:id="rId2"/>
    <sheet name="Peripheral Layer" sheetId="3" r:id="rId3"/>
    <sheet name="Core Layer" sheetId="4" r:id="rId4"/>
    <sheet name="Golden Paths" sheetId="5" r:id="rId5"/>
    <sheet name="Observability" sheetId="6" r:id="rId6"/>
    <sheet name="Scoring Gui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D7" i="6"/>
  <c r="D6" i="6"/>
  <c r="D5" i="6"/>
  <c r="D4" i="6"/>
  <c r="D3" i="6"/>
  <c r="B9" i="5"/>
  <c r="D7" i="5"/>
  <c r="D6" i="5"/>
  <c r="D5" i="5"/>
  <c r="D4" i="5"/>
  <c r="D3" i="5"/>
  <c r="B10" i="4"/>
  <c r="D8" i="4"/>
  <c r="D7" i="4"/>
  <c r="D6" i="4"/>
  <c r="D5" i="4"/>
  <c r="D4" i="4"/>
  <c r="D3" i="4"/>
  <c r="B9" i="3"/>
  <c r="D7" i="3"/>
  <c r="D6" i="3"/>
  <c r="D5" i="3"/>
  <c r="D4" i="3"/>
  <c r="D3" i="3"/>
  <c r="B9" i="2"/>
  <c r="D7" i="2"/>
  <c r="D6" i="2"/>
  <c r="D5" i="2"/>
  <c r="D4" i="2"/>
  <c r="D3" i="2"/>
  <c r="C13" i="1"/>
  <c r="B13" i="1"/>
  <c r="D13" i="1" s="1"/>
  <c r="F11" i="1"/>
  <c r="E11" i="1"/>
  <c r="D11" i="1"/>
  <c r="D10" i="1"/>
  <c r="F10" i="1" s="1"/>
  <c r="D9" i="1"/>
  <c r="F9" i="1" s="1"/>
  <c r="D8" i="1"/>
  <c r="F8" i="1" s="1"/>
  <c r="F7" i="1"/>
  <c r="E7" i="1"/>
  <c r="D7" i="1"/>
  <c r="B17" i="1" l="1"/>
  <c r="E13" i="1"/>
  <c r="E8" i="1"/>
  <c r="E9" i="1"/>
  <c r="E10" i="1"/>
</calcChain>
</file>

<file path=xl/sharedStrings.xml><?xml version="1.0" encoding="utf-8"?>
<sst xmlns="http://schemas.openxmlformats.org/spreadsheetml/2006/main" count="94" uniqueCount="69">
  <si>
    <t>Platform Anatomy Assessment Model</t>
  </si>
  <si>
    <t>Organization:</t>
  </si>
  <si>
    <t>[Enter Name]</t>
  </si>
  <si>
    <t>Date:</t>
  </si>
  <si>
    <t>[Enter Date]</t>
  </si>
  <si>
    <t>Assessment Summary</t>
  </si>
  <si>
    <t>Layer</t>
  </si>
  <si>
    <t>Score</t>
  </si>
  <si>
    <t>Max Score</t>
  </si>
  <si>
    <t>Maturity %</t>
  </si>
  <si>
    <t>Status</t>
  </si>
  <si>
    <t>Priority</t>
  </si>
  <si>
    <t>Extension Layer</t>
  </si>
  <si>
    <t>Peripheral Layer</t>
  </si>
  <si>
    <t>Core Layer</t>
  </si>
  <si>
    <t>Scaffolding &amp; Golden Paths</t>
  </si>
  <si>
    <t>Observability &amp; Feedback</t>
  </si>
  <si>
    <t>Overall Score</t>
  </si>
  <si>
    <t>Recommendations</t>
  </si>
  <si>
    <t>Overall Approach:</t>
  </si>
  <si>
    <t>Immediate Actions:</t>
  </si>
  <si>
    <t>1. Focus on layers with 'High' priority first</t>
  </si>
  <si>
    <t>2. Complete core layer before extending peripheral capabilities</t>
  </si>
  <si>
    <t>3. Establish golden paths for most common use cases</t>
  </si>
  <si>
    <t>Extension Layer Assessment</t>
  </si>
  <si>
    <t>Criterion</t>
  </si>
  <si>
    <t>Score (0-5)</t>
  </si>
  <si>
    <t>Weight</t>
  </si>
  <si>
    <t>Weighted Score</t>
  </si>
  <si>
    <t>Notes</t>
  </si>
  <si>
    <t>Developer Portal availability</t>
  </si>
  <si>
    <t>Self-service onboarding</t>
  </si>
  <si>
    <t>Documentation quality</t>
  </si>
  <si>
    <t>CLI tooling</t>
  </si>
  <si>
    <t>IDE integration</t>
  </si>
  <si>
    <t>Total Score:</t>
  </si>
  <si>
    <t>Peripheral Layer Assessment</t>
  </si>
  <si>
    <t>Domain API templates</t>
  </si>
  <si>
    <t>Workflow engine integration</t>
  </si>
  <si>
    <t>Domain data model patterns</t>
  </si>
  <si>
    <t>Compliance automation</t>
  </si>
  <si>
    <t>Industry-specific patterns</t>
  </si>
  <si>
    <t>Core Layer Assessment</t>
  </si>
  <si>
    <t>Identity &amp; Access Management</t>
  </si>
  <si>
    <t>Secrets Management</t>
  </si>
  <si>
    <t>Service Mesh / Networking</t>
  </si>
  <si>
    <t>Infrastructure as Code</t>
  </si>
  <si>
    <t>CI/CD Pipeline Engine</t>
  </si>
  <si>
    <t>Base Observability Stack</t>
  </si>
  <si>
    <t>Scaffolding &amp; Golden Paths Assessment</t>
  </si>
  <si>
    <t>Bootstrap templates available</t>
  </si>
  <si>
    <t>Opinionated defaults defined</t>
  </si>
  <si>
    <t>Escape hatch mechanisms</t>
  </si>
  <si>
    <t>Template versioning</t>
  </si>
  <si>
    <t>Adoption tracking</t>
  </si>
  <si>
    <t>Observability &amp; Feedback Assessment</t>
  </si>
  <si>
    <t>Platform telemetry coverage</t>
  </si>
  <si>
    <t>Domain-specific dashboards</t>
  </si>
  <si>
    <t>Alerting &amp; SLO management</t>
  </si>
  <si>
    <t>Developer feedback channels</t>
  </si>
  <si>
    <t>Continuous improvement process</t>
  </si>
  <si>
    <t>Scoring Guide</t>
  </si>
  <si>
    <t>Description</t>
  </si>
  <si>
    <t>Not implemented or no capability exists</t>
  </si>
  <si>
    <t>Initial/ad-hoc - capability exists but is inconsistent</t>
  </si>
  <si>
    <t>Repeatable - capability is documented but manual</t>
  </si>
  <si>
    <t>Defined - capability is standardized across some teams</t>
  </si>
  <si>
    <t>Managed - capability is automated and measured</t>
  </si>
  <si>
    <t>Optimizing - capability is continuously improved based on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</si>
</sst>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1"/>
      <color rgb="FF0000FF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C5282"/>
      </patternFill>
    </fill>
    <fill>
      <patternFill patternType="solid">
        <fgColor rgb="FF63B3ED"/>
      </patternFill>
    </fill>
    <fill>
      <patternFill patternType="solid">
        <fgColor rgb="FF4299E1"/>
      </patternFill>
    </fill>
    <fill>
      <patternFill patternType="solid">
        <fgColor rgb="FF2B6CB0"/>
      </patternFill>
    </fill>
    <fill>
      <patternFill patternType="solid">
        <fgColor rgb="FFD69E2E"/>
      </patternFill>
    </fill>
    <fill>
      <patternFill patternType="solid">
        <fgColor rgb="FF38A1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sqref="A1:F1"/>
    </sheetView>
  </sheetViews>
  <sheetFormatPr baseColWidth="10" defaultColWidth="8.83203125" defaultRowHeight="15" x14ac:dyDescent="0.2"/>
  <cols>
    <col min="1" max="1" width="30" customWidth="1"/>
    <col min="2" max="4" width="12" customWidth="1"/>
    <col min="5" max="5" width="15" customWidth="1"/>
    <col min="6" max="6" width="12" customWidth="1"/>
  </cols>
  <sheetData>
    <row r="1" spans="1:6" ht="21" x14ac:dyDescent="0.25">
      <c r="A1" s="10" t="s">
        <v>0</v>
      </c>
      <c r="B1" s="11"/>
      <c r="C1" s="11"/>
      <c r="D1" s="11"/>
      <c r="E1" s="11"/>
      <c r="F1" s="11"/>
    </row>
    <row r="3" spans="1:6" x14ac:dyDescent="0.2">
      <c r="A3" t="s">
        <v>1</v>
      </c>
      <c r="B3" s="1" t="s">
        <v>2</v>
      </c>
      <c r="D3" t="s">
        <v>3</v>
      </c>
      <c r="E3" s="1" t="s">
        <v>4</v>
      </c>
    </row>
    <row r="5" spans="1:6" ht="19" x14ac:dyDescent="0.25">
      <c r="A5" s="2" t="s">
        <v>5</v>
      </c>
    </row>
    <row r="6" spans="1:6" x14ac:dyDescent="0.2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</row>
    <row r="7" spans="1:6" x14ac:dyDescent="0.2">
      <c r="A7" t="s">
        <v>12</v>
      </c>
      <c r="B7">
        <v>0</v>
      </c>
      <c r="C7">
        <v>25</v>
      </c>
      <c r="D7">
        <f>B7/C7*100</f>
        <v>0</v>
      </c>
      <c r="E7" t="str">
        <f>IF(D7&gt;=70,"Strong",IF(D7&gt;=40,"Developing","Weak"))</f>
        <v>Weak</v>
      </c>
      <c r="F7" t="str">
        <f>IF(D7&lt;40,"High",IF(D7&lt;70,"Medium","Low"))</f>
        <v>High</v>
      </c>
    </row>
    <row r="8" spans="1:6" x14ac:dyDescent="0.2">
      <c r="A8" t="s">
        <v>13</v>
      </c>
      <c r="B8">
        <v>0</v>
      </c>
      <c r="C8">
        <v>30</v>
      </c>
      <c r="D8">
        <f>B8/C8*100</f>
        <v>0</v>
      </c>
      <c r="E8" t="str">
        <f>IF(D8&gt;=70,"Strong",IF(D8&gt;=40,"Developing","Weak"))</f>
        <v>Weak</v>
      </c>
      <c r="F8" t="str">
        <f>IF(D8&lt;40,"High",IF(D8&lt;70,"Medium","Low"))</f>
        <v>High</v>
      </c>
    </row>
    <row r="9" spans="1:6" x14ac:dyDescent="0.2">
      <c r="A9" t="s">
        <v>14</v>
      </c>
      <c r="B9">
        <v>0</v>
      </c>
      <c r="C9">
        <v>35</v>
      </c>
      <c r="D9">
        <f>B9/C9*100</f>
        <v>0</v>
      </c>
      <c r="E9" t="str">
        <f>IF(D9&gt;=70,"Strong",IF(D9&gt;=40,"Developing","Weak"))</f>
        <v>Weak</v>
      </c>
      <c r="F9" t="str">
        <f>IF(D9&lt;40,"High",IF(D9&lt;70,"Medium","Low"))</f>
        <v>High</v>
      </c>
    </row>
    <row r="10" spans="1:6" x14ac:dyDescent="0.2">
      <c r="A10" t="s">
        <v>15</v>
      </c>
      <c r="B10">
        <v>0</v>
      </c>
      <c r="C10">
        <v>25</v>
      </c>
      <c r="D10">
        <f>B10/C10*100</f>
        <v>0</v>
      </c>
      <c r="E10" t="str">
        <f>IF(D10&gt;=70,"Strong",IF(D10&gt;=40,"Developing","Weak"))</f>
        <v>Weak</v>
      </c>
      <c r="F10" t="str">
        <f>IF(D10&lt;40,"High",IF(D10&lt;70,"Medium","Low"))</f>
        <v>High</v>
      </c>
    </row>
    <row r="11" spans="1:6" x14ac:dyDescent="0.2">
      <c r="A11" t="s">
        <v>16</v>
      </c>
      <c r="B11">
        <v>0</v>
      </c>
      <c r="C11">
        <v>25</v>
      </c>
      <c r="D11">
        <f>B11/C11*100</f>
        <v>0</v>
      </c>
      <c r="E11" t="str">
        <f>IF(D11&gt;=70,"Strong",IF(D11&gt;=40,"Developing","Weak"))</f>
        <v>Weak</v>
      </c>
      <c r="F11" t="str">
        <f>IF(D11&lt;40,"High",IF(D11&lt;70,"Medium","Low"))</f>
        <v>High</v>
      </c>
    </row>
    <row r="13" spans="1:6" x14ac:dyDescent="0.2">
      <c r="A13" s="4" t="s">
        <v>17</v>
      </c>
      <c r="B13">
        <f>SUM(B7:B11)</f>
        <v>0</v>
      </c>
      <c r="C13">
        <f>SUM(C7:C11)</f>
        <v>140</v>
      </c>
      <c r="D13">
        <f>B13/C13*100</f>
        <v>0</v>
      </c>
      <c r="E13" t="str">
        <f>IF(D13&gt;=70,"Strategic Ready",IF(D13&gt;=40,"Transitional","Tactical Focus"))</f>
        <v>Tactical Focus</v>
      </c>
    </row>
    <row r="16" spans="1:6" ht="19" x14ac:dyDescent="0.25">
      <c r="A16" s="2" t="s">
        <v>18</v>
      </c>
    </row>
    <row r="17" spans="1:2" x14ac:dyDescent="0.2">
      <c r="A17" t="s">
        <v>19</v>
      </c>
      <c r="B17" s="4" t="str">
        <f>IF(D13&gt;=70,"Full DDPE Implementation",IF(D13&gt;=40,"Phased DDPE Adoption","Foundation Building"))</f>
        <v>Foundation Building</v>
      </c>
    </row>
    <row r="19" spans="1:2" x14ac:dyDescent="0.2">
      <c r="A19" t="s">
        <v>20</v>
      </c>
    </row>
    <row r="20" spans="1:2" x14ac:dyDescent="0.2">
      <c r="A20" t="s">
        <v>21</v>
      </c>
    </row>
    <row r="21" spans="1:2" x14ac:dyDescent="0.2">
      <c r="A21" t="s">
        <v>22</v>
      </c>
    </row>
    <row r="22" spans="1:2" x14ac:dyDescent="0.2">
      <c r="A22" t="s">
        <v>23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  <col min="5" max="5" width="30" customWidth="1"/>
  </cols>
  <sheetData>
    <row r="1" spans="1:5" ht="19" x14ac:dyDescent="0.25">
      <c r="A1" s="2" t="s">
        <v>24</v>
      </c>
    </row>
    <row r="2" spans="1:5" x14ac:dyDescent="0.2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</row>
    <row r="3" spans="1:5" x14ac:dyDescent="0.2">
      <c r="A3" t="s">
        <v>30</v>
      </c>
      <c r="B3">
        <v>0</v>
      </c>
      <c r="C3">
        <v>1</v>
      </c>
      <c r="D3">
        <f>B3*C3</f>
        <v>0</v>
      </c>
    </row>
    <row r="4" spans="1:5" x14ac:dyDescent="0.2">
      <c r="A4" t="s">
        <v>31</v>
      </c>
      <c r="B4">
        <v>0</v>
      </c>
      <c r="C4">
        <v>1</v>
      </c>
      <c r="D4">
        <f>B4*C4</f>
        <v>0</v>
      </c>
    </row>
    <row r="5" spans="1:5" x14ac:dyDescent="0.2">
      <c r="A5" t="s">
        <v>32</v>
      </c>
      <c r="B5">
        <v>0</v>
      </c>
      <c r="C5">
        <v>1</v>
      </c>
      <c r="D5">
        <f>B5*C5</f>
        <v>0</v>
      </c>
    </row>
    <row r="6" spans="1:5" x14ac:dyDescent="0.2">
      <c r="A6" t="s">
        <v>33</v>
      </c>
      <c r="B6">
        <v>0</v>
      </c>
      <c r="C6">
        <v>1</v>
      </c>
      <c r="D6">
        <f>B6*C6</f>
        <v>0</v>
      </c>
    </row>
    <row r="7" spans="1:5" x14ac:dyDescent="0.2">
      <c r="A7" t="s">
        <v>34</v>
      </c>
      <c r="B7">
        <v>0</v>
      </c>
      <c r="C7">
        <v>1</v>
      </c>
      <c r="D7">
        <f>B7*C7</f>
        <v>0</v>
      </c>
    </row>
    <row r="9" spans="1:5" x14ac:dyDescent="0.2">
      <c r="A9" s="4" t="s">
        <v>35</v>
      </c>
      <c r="B9">
        <f>SUM(D3:D7)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topLeftCell="A20" workbookViewId="0"/>
  </sheetViews>
  <sheetFormatPr baseColWidth="10" defaultColWidth="8.83203125" defaultRowHeight="15" x14ac:dyDescent="0.2"/>
  <cols>
    <col min="1" max="1" width="30" customWidth="1"/>
    <col min="2" max="2" width="15" customWidth="1"/>
    <col min="5" max="5" width="30" customWidth="1"/>
  </cols>
  <sheetData>
    <row r="1" spans="1:5" ht="19" x14ac:dyDescent="0.25">
      <c r="A1" s="2" t="s">
        <v>36</v>
      </c>
    </row>
    <row r="2" spans="1:5" x14ac:dyDescent="0.2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</row>
    <row r="3" spans="1:5" x14ac:dyDescent="0.2">
      <c r="A3" t="s">
        <v>37</v>
      </c>
      <c r="B3">
        <v>0</v>
      </c>
      <c r="C3">
        <v>1.5</v>
      </c>
      <c r="D3">
        <f>B3*C3</f>
        <v>0</v>
      </c>
    </row>
    <row r="4" spans="1:5" x14ac:dyDescent="0.2">
      <c r="A4" t="s">
        <v>38</v>
      </c>
      <c r="B4">
        <v>0</v>
      </c>
      <c r="C4">
        <v>1.5</v>
      </c>
      <c r="D4">
        <f>B4*C4</f>
        <v>0</v>
      </c>
    </row>
    <row r="5" spans="1:5" x14ac:dyDescent="0.2">
      <c r="A5" t="s">
        <v>39</v>
      </c>
      <c r="B5">
        <v>0</v>
      </c>
      <c r="C5">
        <v>1</v>
      </c>
      <c r="D5">
        <f>B5*C5</f>
        <v>0</v>
      </c>
    </row>
    <row r="6" spans="1:5" x14ac:dyDescent="0.2">
      <c r="A6" t="s">
        <v>40</v>
      </c>
      <c r="B6">
        <v>0</v>
      </c>
      <c r="C6">
        <v>1</v>
      </c>
      <c r="D6">
        <f>B6*C6</f>
        <v>0</v>
      </c>
    </row>
    <row r="7" spans="1:5" x14ac:dyDescent="0.2">
      <c r="A7" t="s">
        <v>41</v>
      </c>
      <c r="B7">
        <v>0</v>
      </c>
      <c r="C7">
        <v>1</v>
      </c>
      <c r="D7">
        <f>B7*C7</f>
        <v>0</v>
      </c>
    </row>
    <row r="9" spans="1:5" x14ac:dyDescent="0.2">
      <c r="A9" s="4" t="s">
        <v>35</v>
      </c>
      <c r="B9">
        <f>SUM(D3:D7)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  <col min="5" max="5" width="30" customWidth="1"/>
  </cols>
  <sheetData>
    <row r="1" spans="1:5" ht="19" x14ac:dyDescent="0.25">
      <c r="A1" s="2" t="s">
        <v>42</v>
      </c>
    </row>
    <row r="2" spans="1:5" x14ac:dyDescent="0.2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</row>
    <row r="3" spans="1:5" x14ac:dyDescent="0.2">
      <c r="A3" t="s">
        <v>43</v>
      </c>
      <c r="B3">
        <v>0</v>
      </c>
      <c r="C3">
        <v>1.5</v>
      </c>
      <c r="D3">
        <f t="shared" ref="D3:D8" si="0">B3*C3</f>
        <v>0</v>
      </c>
    </row>
    <row r="4" spans="1:5" x14ac:dyDescent="0.2">
      <c r="A4" t="s">
        <v>44</v>
      </c>
      <c r="B4">
        <v>0</v>
      </c>
      <c r="C4">
        <v>1.5</v>
      </c>
      <c r="D4">
        <f t="shared" si="0"/>
        <v>0</v>
      </c>
    </row>
    <row r="5" spans="1:5" x14ac:dyDescent="0.2">
      <c r="A5" t="s">
        <v>45</v>
      </c>
      <c r="B5">
        <v>0</v>
      </c>
      <c r="C5">
        <v>1</v>
      </c>
      <c r="D5">
        <f t="shared" si="0"/>
        <v>0</v>
      </c>
    </row>
    <row r="6" spans="1:5" x14ac:dyDescent="0.2">
      <c r="A6" t="s">
        <v>46</v>
      </c>
      <c r="B6">
        <v>0</v>
      </c>
      <c r="C6">
        <v>1.5</v>
      </c>
      <c r="D6">
        <f t="shared" si="0"/>
        <v>0</v>
      </c>
    </row>
    <row r="7" spans="1:5" x14ac:dyDescent="0.2">
      <c r="A7" t="s">
        <v>47</v>
      </c>
      <c r="B7">
        <v>0</v>
      </c>
      <c r="C7">
        <v>1.5</v>
      </c>
      <c r="D7">
        <f t="shared" si="0"/>
        <v>0</v>
      </c>
    </row>
    <row r="8" spans="1:5" x14ac:dyDescent="0.2">
      <c r="A8" t="s">
        <v>48</v>
      </c>
      <c r="B8">
        <v>0</v>
      </c>
      <c r="C8">
        <v>1</v>
      </c>
      <c r="D8">
        <f t="shared" si="0"/>
        <v>0</v>
      </c>
    </row>
    <row r="10" spans="1:5" x14ac:dyDescent="0.2">
      <c r="A10" s="4" t="s">
        <v>35</v>
      </c>
      <c r="B10">
        <f>SUM(D3:D8)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  <col min="5" max="5" width="30" customWidth="1"/>
  </cols>
  <sheetData>
    <row r="1" spans="1:5" ht="19" x14ac:dyDescent="0.25">
      <c r="A1" s="2" t="s">
        <v>49</v>
      </c>
    </row>
    <row r="2" spans="1:5" x14ac:dyDescent="0.2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</row>
    <row r="3" spans="1:5" x14ac:dyDescent="0.2">
      <c r="A3" t="s">
        <v>50</v>
      </c>
      <c r="B3">
        <v>0</v>
      </c>
      <c r="C3">
        <v>1</v>
      </c>
      <c r="D3">
        <f>B3*C3</f>
        <v>0</v>
      </c>
    </row>
    <row r="4" spans="1:5" x14ac:dyDescent="0.2">
      <c r="A4" t="s">
        <v>51</v>
      </c>
      <c r="B4">
        <v>0</v>
      </c>
      <c r="C4">
        <v>1</v>
      </c>
      <c r="D4">
        <f>B4*C4</f>
        <v>0</v>
      </c>
    </row>
    <row r="5" spans="1:5" x14ac:dyDescent="0.2">
      <c r="A5" t="s">
        <v>52</v>
      </c>
      <c r="B5">
        <v>0</v>
      </c>
      <c r="C5">
        <v>1</v>
      </c>
      <c r="D5">
        <f>B5*C5</f>
        <v>0</v>
      </c>
    </row>
    <row r="6" spans="1:5" x14ac:dyDescent="0.2">
      <c r="A6" t="s">
        <v>53</v>
      </c>
      <c r="B6">
        <v>0</v>
      </c>
      <c r="C6">
        <v>1</v>
      </c>
      <c r="D6">
        <f>B6*C6</f>
        <v>0</v>
      </c>
    </row>
    <row r="7" spans="1:5" x14ac:dyDescent="0.2">
      <c r="A7" t="s">
        <v>54</v>
      </c>
      <c r="B7">
        <v>0</v>
      </c>
      <c r="C7">
        <v>1</v>
      </c>
      <c r="D7">
        <f>B7*C7</f>
        <v>0</v>
      </c>
    </row>
    <row r="9" spans="1:5" x14ac:dyDescent="0.2">
      <c r="A9" s="4" t="s">
        <v>35</v>
      </c>
      <c r="B9">
        <f>SUM(D3:D7)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  <col min="5" max="5" width="30" customWidth="1"/>
  </cols>
  <sheetData>
    <row r="1" spans="1:5" ht="19" x14ac:dyDescent="0.25">
      <c r="A1" s="2" t="s">
        <v>55</v>
      </c>
    </row>
    <row r="2" spans="1:5" x14ac:dyDescent="0.2">
      <c r="A2" s="9" t="s">
        <v>25</v>
      </c>
      <c r="B2" s="9" t="s">
        <v>26</v>
      </c>
      <c r="C2" s="9" t="s">
        <v>27</v>
      </c>
      <c r="D2" s="9" t="s">
        <v>28</v>
      </c>
      <c r="E2" s="9" t="s">
        <v>29</v>
      </c>
    </row>
    <row r="3" spans="1:5" x14ac:dyDescent="0.2">
      <c r="A3" t="s">
        <v>56</v>
      </c>
      <c r="B3">
        <v>0</v>
      </c>
      <c r="C3">
        <v>1</v>
      </c>
      <c r="D3">
        <f>B3*C3</f>
        <v>0</v>
      </c>
    </row>
    <row r="4" spans="1:5" x14ac:dyDescent="0.2">
      <c r="A4" t="s">
        <v>57</v>
      </c>
      <c r="B4">
        <v>0</v>
      </c>
      <c r="C4">
        <v>1</v>
      </c>
      <c r="D4">
        <f>B4*C4</f>
        <v>0</v>
      </c>
    </row>
    <row r="5" spans="1:5" x14ac:dyDescent="0.2">
      <c r="A5" t="s">
        <v>58</v>
      </c>
      <c r="B5">
        <v>0</v>
      </c>
      <c r="C5">
        <v>1</v>
      </c>
      <c r="D5">
        <f>B5*C5</f>
        <v>0</v>
      </c>
    </row>
    <row r="6" spans="1:5" x14ac:dyDescent="0.2">
      <c r="A6" t="s">
        <v>59</v>
      </c>
      <c r="B6">
        <v>0</v>
      </c>
      <c r="C6">
        <v>1</v>
      </c>
      <c r="D6">
        <f>B6*C6</f>
        <v>0</v>
      </c>
    </row>
    <row r="7" spans="1:5" x14ac:dyDescent="0.2">
      <c r="A7" t="s">
        <v>60</v>
      </c>
      <c r="B7">
        <v>0</v>
      </c>
      <c r="C7">
        <v>1</v>
      </c>
      <c r="D7">
        <f>B7*C7</f>
        <v>0</v>
      </c>
    </row>
    <row r="9" spans="1:5" x14ac:dyDescent="0.2">
      <c r="A9" s="4" t="s">
        <v>35</v>
      </c>
      <c r="B9">
        <f>SUM(D3:D7)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</cols>
  <sheetData>
    <row r="1" spans="1:2" ht="19" x14ac:dyDescent="0.25">
      <c r="A1" s="2" t="s">
        <v>61</v>
      </c>
    </row>
    <row r="3" spans="1:2" x14ac:dyDescent="0.2">
      <c r="A3" s="4" t="s">
        <v>7</v>
      </c>
      <c r="B3" s="4" t="s">
        <v>62</v>
      </c>
    </row>
    <row r="4" spans="1:2" x14ac:dyDescent="0.2">
      <c r="A4">
        <v>0</v>
      </c>
      <c r="B4" t="s">
        <v>63</v>
      </c>
    </row>
    <row r="5" spans="1:2" x14ac:dyDescent="0.2">
      <c r="A5">
        <v>1</v>
      </c>
      <c r="B5" t="s">
        <v>64</v>
      </c>
    </row>
    <row r="6" spans="1:2" x14ac:dyDescent="0.2">
      <c r="A6">
        <v>2</v>
      </c>
      <c r="B6" t="s">
        <v>65</v>
      </c>
    </row>
    <row r="7" spans="1:2" x14ac:dyDescent="0.2">
      <c r="A7">
        <v>3</v>
      </c>
      <c r="B7" t="s">
        <v>66</v>
      </c>
    </row>
    <row r="8" spans="1:2" x14ac:dyDescent="0.2">
      <c r="A8">
        <v>4</v>
      </c>
      <c r="B8" t="s">
        <v>67</v>
      </c>
    </row>
    <row r="9" spans="1:2" x14ac:dyDescent="0.2">
      <c r="A9">
        <v>5</v>
      </c>
      <c r="B9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Platform Anatomy Dashboard</vt:lpstr>
      <vt:lpstr>Extension Layer</vt:lpstr>
      <vt:lpstr>Peripheral Layer</vt:lpstr>
      <vt:lpstr>Core Layer</vt:lpstr>
      <vt:lpstr>Golden Paths</vt:lpstr>
      <vt:lpstr>Observability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Chankramath</cp:lastModifiedBy>
  <dcterms:created xsi:type="dcterms:W3CDTF">2026-01-20T01:48:19Z</dcterms:created>
  <dcterms:modified xsi:type="dcterms:W3CDTF">2026-02-04T00:12:03Z</dcterms:modified>
</cp:coreProperties>
</file>