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/Documents/ddpe/Chapter02/"/>
    </mc:Choice>
  </mc:AlternateContent>
  <xr:revisionPtr revIDLastSave="0" documentId="8_{EA95066F-C995-7547-8709-1669942BA285}" xr6:coauthVersionLast="47" xr6:coauthVersionMax="47" xr10:uidLastSave="{00000000-0000-0000-0000-000000000000}"/>
  <bookViews>
    <workbookView xWindow="13500" yWindow="1840" windowWidth="27640" windowHeight="16940" xr2:uid="{FED83030-931C-5A46-9EE3-A52429F785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37" i="1"/>
  <c r="E36" i="1"/>
  <c r="E35" i="1"/>
  <c r="E34" i="1"/>
  <c r="E33" i="1"/>
  <c r="C29" i="1"/>
  <c r="E28" i="1"/>
  <c r="E27" i="1"/>
  <c r="E26" i="1"/>
  <c r="E25" i="1"/>
  <c r="E29" i="1" s="1"/>
  <c r="C21" i="1"/>
  <c r="E20" i="1"/>
  <c r="E19" i="1"/>
  <c r="E18" i="1"/>
  <c r="E17" i="1"/>
  <c r="E21" i="1" s="1"/>
  <c r="C13" i="1"/>
  <c r="E12" i="1"/>
  <c r="E11" i="1"/>
  <c r="E10" i="1"/>
  <c r="E9" i="1"/>
  <c r="E8" i="1"/>
  <c r="E13" i="1" s="1"/>
  <c r="B41" i="1" l="1"/>
  <c r="B43" i="1" l="1"/>
  <c r="C43" i="1" s="1"/>
  <c r="B42" i="1"/>
  <c r="C42" i="1" s="1"/>
  <c r="C41" i="1"/>
</calcChain>
</file>

<file path=xl/sharedStrings.xml><?xml version="1.0" encoding="utf-8"?>
<sst xmlns="http://schemas.openxmlformats.org/spreadsheetml/2006/main" count="97" uniqueCount="66">
  <si>
    <t>DOMAIN IDENTIFICATION SCORECARD</t>
  </si>
  <si>
    <t>Domain Name:</t>
  </si>
  <si>
    <t>Assessment Date:</t>
  </si>
  <si>
    <t>SECTION A: DOMAIN BOUNDARY CRITERIA (40% WEIGHT)</t>
  </si>
  <si>
    <t>Criteria</t>
  </si>
  <si>
    <t>Description</t>
  </si>
  <si>
    <t>Score (0-5)</t>
  </si>
  <si>
    <t>Weight</t>
  </si>
  <si>
    <t>Weighted Score</t>
  </si>
  <si>
    <t>Evidence/Notes</t>
  </si>
  <si>
    <t>Independent Deployment</t>
  </si>
  <si>
    <t>Team can deploy without coordinating with others</t>
  </si>
  <si>
    <t>8%</t>
  </si>
  <si>
    <t>Data Ownership</t>
  </si>
  <si>
    <t>Team owns and controls their data model</t>
  </si>
  <si>
    <t>Async Communication</t>
  </si>
  <si>
    <t>External communication is primarily asynchronous</t>
  </si>
  <si>
    <t>SLA Definition</t>
  </si>
  <si>
    <t>Team can define and manage their own SLAs</t>
  </si>
  <si>
    <t>Single Accountability</t>
  </si>
  <si>
    <t>One product owner has clear accountability</t>
  </si>
  <si>
    <t>Subtotal A</t>
  </si>
  <si>
    <t>40%</t>
  </si>
  <si>
    <t>SECTION B: BUSINESS ALIGNMENT (30% WEIGHT)</t>
  </si>
  <si>
    <t>Business Capability</t>
  </si>
  <si>
    <t>Maps to clear business function</t>
  </si>
  <si>
    <t>7.5%</t>
  </si>
  <si>
    <t>Revenue Impact</t>
  </si>
  <si>
    <t>Direct tie to revenue or cost center</t>
  </si>
  <si>
    <t>Stakeholder Clarity</t>
  </si>
  <si>
    <t>Clear business stakeholder ownership</t>
  </si>
  <si>
    <t>Value Stream</t>
  </si>
  <si>
    <t>Part of identifiable value stream</t>
  </si>
  <si>
    <t>Subtotal B</t>
  </si>
  <si>
    <t>30%</t>
  </si>
  <si>
    <t>SECTION C: TECHNICAL COHESION (20% WEIGHT)</t>
  </si>
  <si>
    <t>Bounded Context</t>
  </si>
  <si>
    <t>Clear ubiquitous language boundary</t>
  </si>
  <si>
    <t>5%</t>
  </si>
  <si>
    <t>API Completeness</t>
  </si>
  <si>
    <t>Well-defined API contracts</t>
  </si>
  <si>
    <t>Tech Stack Autonomy</t>
  </si>
  <si>
    <t>Freedom to choose appropriate tech</t>
  </si>
  <si>
    <t>Testing Independence</t>
  </si>
  <si>
    <t>Can test without external dependencies</t>
  </si>
  <si>
    <t>Subtotal C</t>
  </si>
  <si>
    <t>20%</t>
  </si>
  <si>
    <t>SECTION D: TEAM DYNAMICS (10% WEIGHT)</t>
  </si>
  <si>
    <t>Team Size</t>
  </si>
  <si>
    <t>5-9 people (5=optimal, 0=too large/small)</t>
  </si>
  <si>
    <t>2.5%</t>
  </si>
  <si>
    <t>Cognitive Load</t>
  </si>
  <si>
    <t>Manageable complexity for team</t>
  </si>
  <si>
    <t>Skill Alignment</t>
  </si>
  <si>
    <t>Team has necessary skills</t>
  </si>
  <si>
    <t>Communication Pattern</t>
  </si>
  <si>
    <t>Mostly internal communication</t>
  </si>
  <si>
    <t>Subtotal D</t>
  </si>
  <si>
    <t>10%</t>
  </si>
  <si>
    <t>OVERALL DOMAIN SCORE</t>
  </si>
  <si>
    <t>Metric</t>
  </si>
  <si>
    <t>Value</t>
  </si>
  <si>
    <t>Interpretation</t>
  </si>
  <si>
    <t>Total Score</t>
  </si>
  <si>
    <t>Readiness %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</si>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</sst>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2" fillId="3" borderId="0" xfId="0" applyFont="1" applyFill="1"/>
    <xf numFmtId="0" fontId="3" fillId="4" borderId="1" xfId="0" applyFont="1" applyFill="1" applyBorder="1"/>
    <xf numFmtId="0" fontId="0" fillId="0" borderId="1" xfId="0" applyBorder="1"/>
    <xf numFmtId="0" fontId="0" fillId="2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9DE8-0693-B740-BCB2-2F6B8AA50CC4}">
  <dimension ref="A1:F43"/>
  <sheetViews>
    <sheetView tabSelected="1" topLeftCell="A18" workbookViewId="0">
      <selection sqref="A1:XFD1048576"/>
    </sheetView>
  </sheetViews>
  <sheetFormatPr baseColWidth="10" defaultColWidth="8.83203125" defaultRowHeight="16" x14ac:dyDescent="0.2"/>
  <cols>
    <col min="1" max="1" width="25" customWidth="1"/>
    <col min="2" max="2" width="40" customWidth="1"/>
    <col min="3" max="3" width="12" customWidth="1"/>
    <col min="4" max="4" width="10" customWidth="1"/>
    <col min="5" max="5" width="15" customWidth="1"/>
    <col min="6" max="6" width="30" customWidth="1"/>
  </cols>
  <sheetData>
    <row r="1" spans="1:6" ht="21" x14ac:dyDescent="0.2">
      <c r="A1" s="1" t="s">
        <v>0</v>
      </c>
      <c r="B1" s="2"/>
      <c r="C1" s="2"/>
      <c r="D1" s="2"/>
      <c r="E1" s="2"/>
      <c r="F1" s="2"/>
    </row>
    <row r="3" spans="1:6" x14ac:dyDescent="0.2">
      <c r="A3" t="s">
        <v>1</v>
      </c>
      <c r="B3" s="3"/>
      <c r="C3" s="2"/>
      <c r="D3" s="2"/>
    </row>
    <row r="4" spans="1:6" x14ac:dyDescent="0.2">
      <c r="A4" t="s">
        <v>2</v>
      </c>
      <c r="B4" s="4">
        <v>45999</v>
      </c>
    </row>
    <row r="6" spans="1:6" x14ac:dyDescent="0.2">
      <c r="A6" s="5" t="s">
        <v>3</v>
      </c>
      <c r="B6" s="2"/>
      <c r="C6" s="2"/>
      <c r="D6" s="2"/>
      <c r="E6" s="2"/>
      <c r="F6" s="2"/>
    </row>
    <row r="7" spans="1:6" x14ac:dyDescent="0.2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spans="1:6" x14ac:dyDescent="0.2">
      <c r="A8" s="7" t="s">
        <v>10</v>
      </c>
      <c r="B8" s="7" t="s">
        <v>11</v>
      </c>
      <c r="C8" s="8">
        <v>1</v>
      </c>
      <c r="D8" s="7" t="s">
        <v>12</v>
      </c>
      <c r="E8" s="7">
        <f>C8*0.08</f>
        <v>0.08</v>
      </c>
      <c r="F8" s="7"/>
    </row>
    <row r="9" spans="1:6" x14ac:dyDescent="0.2">
      <c r="A9" s="7" t="s">
        <v>13</v>
      </c>
      <c r="B9" s="7" t="s">
        <v>14</v>
      </c>
      <c r="C9" s="8">
        <v>2</v>
      </c>
      <c r="D9" s="7" t="s">
        <v>12</v>
      </c>
      <c r="E9" s="7">
        <f>C9*0.08</f>
        <v>0.16</v>
      </c>
      <c r="F9" s="7"/>
    </row>
    <row r="10" spans="1:6" x14ac:dyDescent="0.2">
      <c r="A10" s="7" t="s">
        <v>15</v>
      </c>
      <c r="B10" s="7" t="s">
        <v>16</v>
      </c>
      <c r="C10" s="8">
        <v>3</v>
      </c>
      <c r="D10" s="7" t="s">
        <v>12</v>
      </c>
      <c r="E10" s="7">
        <f>C10*0.08</f>
        <v>0.24</v>
      </c>
      <c r="F10" s="7"/>
    </row>
    <row r="11" spans="1:6" x14ac:dyDescent="0.2">
      <c r="A11" s="7" t="s">
        <v>17</v>
      </c>
      <c r="B11" s="7" t="s">
        <v>18</v>
      </c>
      <c r="C11" s="8">
        <v>4</v>
      </c>
      <c r="D11" s="7" t="s">
        <v>12</v>
      </c>
      <c r="E11" s="7">
        <f>C11*0.08</f>
        <v>0.32</v>
      </c>
      <c r="F11" s="7"/>
    </row>
    <row r="12" spans="1:6" x14ac:dyDescent="0.2">
      <c r="A12" s="7" t="s">
        <v>19</v>
      </c>
      <c r="B12" s="7" t="s">
        <v>20</v>
      </c>
      <c r="C12" s="8">
        <v>5</v>
      </c>
      <c r="D12" s="7" t="s">
        <v>12</v>
      </c>
      <c r="E12" s="7">
        <f>C12*0.08</f>
        <v>0.4</v>
      </c>
      <c r="F12" s="7"/>
    </row>
    <row r="13" spans="1:6" x14ac:dyDescent="0.2">
      <c r="A13" s="9" t="s">
        <v>21</v>
      </c>
      <c r="C13">
        <f>AVERAGE(C8:C12)</f>
        <v>3</v>
      </c>
      <c r="D13" t="s">
        <v>22</v>
      </c>
      <c r="E13" s="9">
        <f>SUM(E8:E12)</f>
        <v>1.2000000000000002</v>
      </c>
    </row>
    <row r="15" spans="1:6" x14ac:dyDescent="0.2">
      <c r="A15" s="5" t="s">
        <v>23</v>
      </c>
      <c r="B15" s="2"/>
      <c r="C15" s="2"/>
      <c r="D15" s="2"/>
      <c r="E15" s="2"/>
      <c r="F15" s="2"/>
    </row>
    <row r="16" spans="1:6" x14ac:dyDescent="0.2">
      <c r="A16" s="6" t="s">
        <v>4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</row>
    <row r="17" spans="1:6" x14ac:dyDescent="0.2">
      <c r="A17" s="7" t="s">
        <v>24</v>
      </c>
      <c r="B17" s="7" t="s">
        <v>25</v>
      </c>
      <c r="C17" s="8">
        <v>3</v>
      </c>
      <c r="D17" s="7" t="s">
        <v>26</v>
      </c>
      <c r="E17" s="7">
        <f>C17*0.075</f>
        <v>0.22499999999999998</v>
      </c>
      <c r="F17" s="7"/>
    </row>
    <row r="18" spans="1:6" x14ac:dyDescent="0.2">
      <c r="A18" s="7" t="s">
        <v>27</v>
      </c>
      <c r="B18" s="7" t="s">
        <v>28</v>
      </c>
      <c r="C18" s="8">
        <v>3</v>
      </c>
      <c r="D18" s="7" t="s">
        <v>26</v>
      </c>
      <c r="E18" s="7">
        <f>C18*0.075</f>
        <v>0.22499999999999998</v>
      </c>
      <c r="F18" s="7"/>
    </row>
    <row r="19" spans="1:6" x14ac:dyDescent="0.2">
      <c r="A19" s="7" t="s">
        <v>29</v>
      </c>
      <c r="B19" s="7" t="s">
        <v>30</v>
      </c>
      <c r="C19" s="8">
        <v>3</v>
      </c>
      <c r="D19" s="7" t="s">
        <v>26</v>
      </c>
      <c r="E19" s="7">
        <f>C19*0.075</f>
        <v>0.22499999999999998</v>
      </c>
      <c r="F19" s="7"/>
    </row>
    <row r="20" spans="1:6" x14ac:dyDescent="0.2">
      <c r="A20" s="7" t="s">
        <v>31</v>
      </c>
      <c r="B20" s="7" t="s">
        <v>32</v>
      </c>
      <c r="C20" s="8">
        <v>3</v>
      </c>
      <c r="D20" s="7" t="s">
        <v>26</v>
      </c>
      <c r="E20" s="7">
        <f>C20*0.075</f>
        <v>0.22499999999999998</v>
      </c>
      <c r="F20" s="7"/>
    </row>
    <row r="21" spans="1:6" x14ac:dyDescent="0.2">
      <c r="A21" s="9" t="s">
        <v>33</v>
      </c>
      <c r="C21">
        <f>AVERAGE(C17:C20)</f>
        <v>3</v>
      </c>
      <c r="D21" t="s">
        <v>34</v>
      </c>
      <c r="E21" s="9">
        <f>SUM(E17:E20)</f>
        <v>0.89999999999999991</v>
      </c>
    </row>
    <row r="23" spans="1:6" x14ac:dyDescent="0.2">
      <c r="A23" s="5" t="s">
        <v>35</v>
      </c>
      <c r="B23" s="2"/>
      <c r="C23" s="2"/>
      <c r="D23" s="2"/>
      <c r="E23" s="2"/>
      <c r="F23" s="2"/>
    </row>
    <row r="24" spans="1:6" x14ac:dyDescent="0.2">
      <c r="A24" s="6" t="s">
        <v>4</v>
      </c>
      <c r="B24" s="6" t="s">
        <v>5</v>
      </c>
      <c r="C24" s="6" t="s">
        <v>6</v>
      </c>
      <c r="D24" s="6" t="s">
        <v>7</v>
      </c>
      <c r="E24" s="6" t="s">
        <v>8</v>
      </c>
      <c r="F24" s="6" t="s">
        <v>9</v>
      </c>
    </row>
    <row r="25" spans="1:6" x14ac:dyDescent="0.2">
      <c r="A25" s="7" t="s">
        <v>36</v>
      </c>
      <c r="B25" s="7" t="s">
        <v>37</v>
      </c>
      <c r="C25" s="8">
        <v>2</v>
      </c>
      <c r="D25" s="7" t="s">
        <v>38</v>
      </c>
      <c r="E25" s="7">
        <f>C25*0.05</f>
        <v>0.1</v>
      </c>
      <c r="F25" s="7"/>
    </row>
    <row r="26" spans="1:6" x14ac:dyDescent="0.2">
      <c r="A26" s="7" t="s">
        <v>39</v>
      </c>
      <c r="B26" s="7" t="s">
        <v>40</v>
      </c>
      <c r="C26" s="8">
        <v>2</v>
      </c>
      <c r="D26" s="7" t="s">
        <v>38</v>
      </c>
      <c r="E26" s="7">
        <f>C26*0.05</f>
        <v>0.1</v>
      </c>
      <c r="F26" s="7"/>
    </row>
    <row r="27" spans="1:6" x14ac:dyDescent="0.2">
      <c r="A27" s="7" t="s">
        <v>41</v>
      </c>
      <c r="B27" s="7" t="s">
        <v>42</v>
      </c>
      <c r="C27" s="8">
        <v>3</v>
      </c>
      <c r="D27" s="7" t="s">
        <v>38</v>
      </c>
      <c r="E27" s="7">
        <f>C27*0.05</f>
        <v>0.15000000000000002</v>
      </c>
      <c r="F27" s="7"/>
    </row>
    <row r="28" spans="1:6" x14ac:dyDescent="0.2">
      <c r="A28" s="7" t="s">
        <v>43</v>
      </c>
      <c r="B28" s="7" t="s">
        <v>44</v>
      </c>
      <c r="C28" s="8">
        <v>3</v>
      </c>
      <c r="D28" s="7" t="s">
        <v>38</v>
      </c>
      <c r="E28" s="7">
        <f>C28*0.05</f>
        <v>0.15000000000000002</v>
      </c>
      <c r="F28" s="7"/>
    </row>
    <row r="29" spans="1:6" x14ac:dyDescent="0.2">
      <c r="A29" s="9" t="s">
        <v>45</v>
      </c>
      <c r="C29">
        <f>AVERAGE(C25:C28)</f>
        <v>2.5</v>
      </c>
      <c r="D29" t="s">
        <v>46</v>
      </c>
      <c r="E29" s="9">
        <f>SUM(E25:E28)</f>
        <v>0.5</v>
      </c>
    </row>
    <row r="31" spans="1:6" x14ac:dyDescent="0.2">
      <c r="A31" s="5" t="s">
        <v>47</v>
      </c>
      <c r="B31" s="2"/>
      <c r="C31" s="2"/>
      <c r="D31" s="2"/>
      <c r="E31" s="2"/>
      <c r="F31" s="2"/>
    </row>
    <row r="32" spans="1:6" x14ac:dyDescent="0.2">
      <c r="A32" s="6" t="s">
        <v>4</v>
      </c>
      <c r="B32" s="6" t="s">
        <v>5</v>
      </c>
      <c r="C32" s="6" t="s">
        <v>6</v>
      </c>
      <c r="D32" s="6" t="s">
        <v>7</v>
      </c>
      <c r="E32" s="6" t="s">
        <v>8</v>
      </c>
      <c r="F32" s="6" t="s">
        <v>9</v>
      </c>
    </row>
    <row r="33" spans="1:6" x14ac:dyDescent="0.2">
      <c r="A33" s="7" t="s">
        <v>48</v>
      </c>
      <c r="B33" s="7" t="s">
        <v>49</v>
      </c>
      <c r="C33" s="8">
        <v>2</v>
      </c>
      <c r="D33" s="7" t="s">
        <v>50</v>
      </c>
      <c r="E33" s="7">
        <f>C33*0.025</f>
        <v>0.05</v>
      </c>
      <c r="F33" s="7"/>
    </row>
    <row r="34" spans="1:6" x14ac:dyDescent="0.2">
      <c r="A34" s="7" t="s">
        <v>51</v>
      </c>
      <c r="B34" s="7" t="s">
        <v>52</v>
      </c>
      <c r="C34" s="8">
        <v>3</v>
      </c>
      <c r="D34" s="7" t="s">
        <v>50</v>
      </c>
      <c r="E34" s="7">
        <f>C34*0.025</f>
        <v>7.5000000000000011E-2</v>
      </c>
      <c r="F34" s="7"/>
    </row>
    <row r="35" spans="1:6" x14ac:dyDescent="0.2">
      <c r="A35" s="7" t="s">
        <v>53</v>
      </c>
      <c r="B35" s="7" t="s">
        <v>54</v>
      </c>
      <c r="C35" s="8">
        <v>2</v>
      </c>
      <c r="D35" s="7" t="s">
        <v>50</v>
      </c>
      <c r="E35" s="7">
        <f>C35*0.025</f>
        <v>0.05</v>
      </c>
      <c r="F35" s="7"/>
    </row>
    <row r="36" spans="1:6" x14ac:dyDescent="0.2">
      <c r="A36" s="7" t="s">
        <v>55</v>
      </c>
      <c r="B36" s="7" t="s">
        <v>56</v>
      </c>
      <c r="C36" s="8">
        <v>2</v>
      </c>
      <c r="D36" s="7" t="s">
        <v>50</v>
      </c>
      <c r="E36" s="7">
        <f>C36*0.025</f>
        <v>0.05</v>
      </c>
      <c r="F36" s="7"/>
    </row>
    <row r="37" spans="1:6" x14ac:dyDescent="0.2">
      <c r="A37" s="9" t="s">
        <v>57</v>
      </c>
      <c r="C37">
        <f>AVERAGE(C33:C36)</f>
        <v>2.25</v>
      </c>
      <c r="D37" t="s">
        <v>58</v>
      </c>
      <c r="E37" s="9">
        <f>SUM(E33:E36)</f>
        <v>0.22499999999999998</v>
      </c>
    </row>
    <row r="39" spans="1:6" x14ac:dyDescent="0.2">
      <c r="A39" s="5" t="s">
        <v>59</v>
      </c>
      <c r="B39" s="2"/>
      <c r="C39" s="2"/>
      <c r="D39" s="2"/>
      <c r="E39" s="2"/>
      <c r="F39" s="2"/>
    </row>
    <row r="40" spans="1:6" x14ac:dyDescent="0.2">
      <c r="A40" s="9" t="s">
        <v>60</v>
      </c>
      <c r="B40" s="9" t="s">
        <v>61</v>
      </c>
      <c r="C40" s="9" t="s">
        <v>62</v>
      </c>
    </row>
    <row r="41" spans="1:6" x14ac:dyDescent="0.2">
      <c r="A41" t="s">
        <v>63</v>
      </c>
      <c r="B41">
        <f>E13+E21+E29+E37</f>
        <v>2.8250000000000002</v>
      </c>
      <c r="C41" t="str">
        <f>IF(B41&gt;=4,"Strong Domain",IF(B41&gt;=3,"Valid Domain",IF(B41&gt;=2,"Needs Review","Not a Domain")))</f>
        <v>Needs Review</v>
      </c>
    </row>
    <row r="42" spans="1:6" x14ac:dyDescent="0.2">
      <c r="A42" t="s">
        <v>64</v>
      </c>
      <c r="B42">
        <f>B41/5*100</f>
        <v>56.500000000000007</v>
      </c>
      <c r="C42" t="str">
        <f>IF(B42&gt;=80,"Ready",IF(B42&gt;=60,"Nearly Ready","Not Ready"))</f>
        <v>Not Ready</v>
      </c>
    </row>
    <row r="43" spans="1:6" x14ac:dyDescent="0.2">
      <c r="A43" t="s">
        <v>65</v>
      </c>
      <c r="B43">
        <f>5-B41</f>
        <v>2.1749999999999998</v>
      </c>
      <c r="C43" t="str">
        <f>IF(B43&lt;=1,"Low",IF(B43&lt;=2,"Medium","High"))</f>
        <v>High</v>
      </c>
    </row>
  </sheetData>
  <mergeCells count="7">
    <mergeCell ref="A39:F39"/>
    <mergeCell ref="A1:F1"/>
    <mergeCell ref="B3:D3"/>
    <mergeCell ref="A6:F6"/>
    <mergeCell ref="A15:F15"/>
    <mergeCell ref="A23:F23"/>
    <mergeCell ref="A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Chankramath</dc:creator>
  <cp:lastModifiedBy>Ajay Chankramath</cp:lastModifiedBy>
  <dcterms:created xsi:type="dcterms:W3CDTF">2025-12-08T16:54:36Z</dcterms:created>
  <dcterms:modified xsi:type="dcterms:W3CDTF">2025-12-08T16:55:17Z</dcterms:modified>
</cp:coreProperties>
</file>